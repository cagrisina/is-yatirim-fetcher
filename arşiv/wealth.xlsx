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rive'ım\Wealth Excel\"/>
    </mc:Choice>
  </mc:AlternateContent>
  <xr:revisionPtr revIDLastSave="0" documentId="13_ncr:1_{D79D62DB-615D-4553-B4F6-4AFC0F1AB2BB}" xr6:coauthVersionLast="47" xr6:coauthVersionMax="47" xr10:uidLastSave="{00000000-0000-0000-0000-000000000000}"/>
  <bookViews>
    <workbookView xWindow="-120" yWindow="-120" windowWidth="29040" windowHeight="15840" tabRatio="674" xr2:uid="{C1735AEA-8621-4B73-A649-68686CE12CE3}"/>
  </bookViews>
  <sheets>
    <sheet name="portföy" sheetId="1" r:id="rId1"/>
    <sheet name="source" sheetId="20" r:id="rId2"/>
    <sheet name="Cost accounting" sheetId="21" r:id="rId3"/>
    <sheet name="hedefler" sheetId="16" r:id="rId4"/>
    <sheet name="pivot" sheetId="15" r:id="rId5"/>
    <sheet name="soruce altın&amp;dolar" sheetId="4" r:id="rId6"/>
    <sheet name="soruce tradingview" sheetId="11" r:id="rId7"/>
    <sheet name="soruce tefas" sheetId="7" r:id="rId8"/>
    <sheet name="r&amp;d" sheetId="13" r:id="rId9"/>
  </sheets>
  <definedNames>
    <definedName name="ExternalData_1" localSheetId="5" hidden="1">'soruce altın&amp;dolar'!$A$1:$C$2</definedName>
    <definedName name="ExternalData_1" localSheetId="7" hidden="1">'soruce tefas'!$B$1:$B$6</definedName>
    <definedName name="ExternalData_1" localSheetId="6" hidden="1">'soruce tradingview'!$C$1:$C$7</definedName>
    <definedName name="ExternalData_2" localSheetId="5" hidden="1">'soruce altın&amp;dolar'!$A$6:$C$8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K3" i="21"/>
  <c r="C8" i="1"/>
  <c r="F8" i="1" s="1"/>
  <c r="K8" i="1" s="1"/>
  <c r="C2" i="1"/>
  <c r="C9" i="1"/>
  <c r="F9" i="1" s="1"/>
  <c r="K9" i="1" s="1"/>
  <c r="C7" i="1"/>
  <c r="G5" i="21"/>
  <c r="G4" i="21"/>
  <c r="G6" i="21"/>
  <c r="I7" i="21"/>
  <c r="G3" i="21"/>
  <c r="E2" i="21"/>
  <c r="G2" i="21" s="1"/>
  <c r="O11" i="16"/>
  <c r="O12" i="16" s="1"/>
  <c r="O14" i="16" s="1"/>
  <c r="E37" i="16"/>
  <c r="E46" i="16"/>
  <c r="E47" i="16"/>
  <c r="E48" i="16"/>
  <c r="E49" i="16"/>
  <c r="E45" i="16"/>
  <c r="D46" i="16"/>
  <c r="D47" i="16"/>
  <c r="D48" i="16"/>
  <c r="D49" i="16"/>
  <c r="D45" i="16"/>
  <c r="E34" i="16"/>
  <c r="E35" i="16"/>
  <c r="E36" i="16"/>
  <c r="E33" i="16"/>
  <c r="E10" i="16"/>
  <c r="E11" i="16"/>
  <c r="E12" i="16"/>
  <c r="E13" i="16"/>
  <c r="E9" i="16"/>
  <c r="E22" i="16"/>
  <c r="E23" i="16"/>
  <c r="E24" i="16"/>
  <c r="E25" i="16"/>
  <c r="E21" i="16"/>
  <c r="D22" i="16"/>
  <c r="D23" i="16"/>
  <c r="D24" i="16"/>
  <c r="D25" i="16"/>
  <c r="D21" i="16"/>
  <c r="D10" i="16"/>
  <c r="D11" i="16"/>
  <c r="D12" i="16"/>
  <c r="D13" i="16"/>
  <c r="D9" i="16"/>
  <c r="D34" i="16"/>
  <c r="D35" i="16"/>
  <c r="D36" i="16"/>
  <c r="D37" i="16"/>
  <c r="D33" i="16"/>
  <c r="C3" i="1" a="1"/>
  <c r="C3" i="1" s="1"/>
  <c r="C5" i="1"/>
  <c r="C6" i="1"/>
  <c r="F6" i="1" s="1"/>
  <c r="C4" i="1"/>
  <c r="F10" i="1" l="1"/>
  <c r="K10" i="1" s="1"/>
  <c r="H10" i="1"/>
  <c r="F7" i="1"/>
  <c r="K7" i="1" s="1"/>
  <c r="K6" i="1"/>
  <c r="F2" i="1"/>
  <c r="K2" i="1" s="1"/>
  <c r="F3" i="1"/>
  <c r="K3" i="1" s="1"/>
  <c r="F5" i="1"/>
  <c r="K5" i="1" s="1"/>
  <c r="F4" i="1"/>
  <c r="K4" i="1" s="1"/>
  <c r="H9" i="1"/>
  <c r="H8" i="1"/>
  <c r="H7" i="1"/>
  <c r="G7" i="21"/>
  <c r="H3" i="1" s="1"/>
  <c r="H2" i="1"/>
  <c r="K11" i="1" l="1"/>
  <c r="E6" i="1"/>
  <c r="H6" i="1" s="1"/>
  <c r="E5" i="1"/>
  <c r="H5" i="1" s="1"/>
  <c r="E4" i="1"/>
  <c r="H4" i="1" s="1"/>
  <c r="F11" i="1"/>
  <c r="J2" i="1" l="1"/>
  <c r="J10" i="1"/>
  <c r="J5" i="1"/>
  <c r="J3" i="1"/>
  <c r="J9" i="1"/>
  <c r="J8" i="1"/>
  <c r="J7" i="1"/>
  <c r="J6" i="1"/>
  <c r="J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817111-09BB-4925-8BE0-C378A398649A}" keepAlive="1" name="Query - Garanti altın-doviz" description="Connection to the 'Garanti altın-doviz' query in the workbook." type="5" refreshedVersion="8" background="1" saveData="1">
    <dbPr connection="Provider=Microsoft.Mashup.OleDb.1;Data Source=$Workbook$;Location=&quot;Garanti altın-doviz&quot;;Extended Properties=&quot;&quot;" command="SELECT * FROM [Garanti altın-doviz]"/>
  </connection>
  <connection id="2" xr16:uid="{52CBD92A-F3A0-4824-BC88-AA53B3D7413F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3" xr16:uid="{055F186F-9260-4A0E-9C2D-B604C0589A1E}" keepAlive="1" name="Query - TEFAS" description="Connection to the 'TEFAS' query in the workbook." type="5" refreshedVersion="8" background="1" saveData="1">
    <dbPr connection="Provider=Microsoft.Mashup.OleDb.1;Data Source=$Workbook$;Location=TEFAS;Extended Properties=&quot;&quot;" command="SELECT * FROM [TEFAS]"/>
  </connection>
  <connection id="4" xr16:uid="{729AAC49-5EB2-4D41-9EA3-201F997D8998}" keepAlive="1" name="Query - Tefas Fiyatları" description="Connection to the 'Tefas Fiyatları' query in the workbook." type="5" refreshedVersion="8" background="1" saveData="1">
    <dbPr connection="Provider=Microsoft.Mashup.OleDb.1;Data Source=$Workbook$;Location=&quot;Tefas Fiyatları&quot;;Extended Properties=&quot;&quot;" command="SELECT * FROM [Tefas Fiyatları]"/>
  </connection>
  <connection id="5" xr16:uid="{5069833B-D378-425A-A55D-19E5C19FA0C7}" keepAlive="1" name="Query - tradingview" description="Connection to the 'tradingview' query in the workbook." type="5" refreshedVersion="0" background="1">
    <dbPr connection="Provider=Microsoft.Mashup.OleDb.1;Data Source=$Workbook$;Location=tradingview;Extended Properties=&quot;&quot;" command="SELECT * FROM [tradingview]"/>
  </connection>
  <connection id="6" xr16:uid="{1617CDCC-3A28-4B7A-AD42-2506E47D1B71}" keepAlive="1" name="Query - Tradingview prices" description="Connection to the 'Tradingview prices' query in the workbook." type="5" refreshedVersion="8" background="1" saveData="1">
    <dbPr connection="Provider=Microsoft.Mashup.OleDb.1;Data Source=$Workbook$;Location=&quot;Tradingview prices&quot;;Extended Properties=&quot;&quot;" command="SELECT * FROM [Tradingview pri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<sst xmlns="http://schemas.openxmlformats.org/spreadsheetml/2006/main" count="180" uniqueCount="71">
  <si>
    <t>Kategori</t>
  </si>
  <si>
    <t>Hisse</t>
  </si>
  <si>
    <t>Fiyat</t>
  </si>
  <si>
    <t>Adet</t>
  </si>
  <si>
    <t>Ort. Maliyet</t>
  </si>
  <si>
    <t>Değer</t>
  </si>
  <si>
    <t>Kar</t>
  </si>
  <si>
    <t>Kar Oranı</t>
  </si>
  <si>
    <t>Ağırlık</t>
  </si>
  <si>
    <t>Ticker</t>
  </si>
  <si>
    <t>İsim</t>
  </si>
  <si>
    <t>Altın Kuru</t>
  </si>
  <si>
    <t>Alış</t>
  </si>
  <si>
    <t>Satış</t>
  </si>
  <si>
    <t>Garanti Gram Altın</t>
  </si>
  <si>
    <t>GTL</t>
  </si>
  <si>
    <t>ZBJ</t>
  </si>
  <si>
    <t>VOO</t>
  </si>
  <si>
    <t>EREGL</t>
  </si>
  <si>
    <t>THYAO</t>
  </si>
  <si>
    <t>ALTIN</t>
  </si>
  <si>
    <t>Prices</t>
  </si>
  <si>
    <t>Tradingviewden gelen verilern para birimleri TL ve $ olarak farklı olması</t>
  </si>
  <si>
    <t>Sorun</t>
  </si>
  <si>
    <t>Kıymetli Maden</t>
  </si>
  <si>
    <t>Altıns1</t>
  </si>
  <si>
    <t>Garanti Altın</t>
  </si>
  <si>
    <t>GTY</t>
  </si>
  <si>
    <t>GBN</t>
  </si>
  <si>
    <t>eregl</t>
  </si>
  <si>
    <t>thy</t>
  </si>
  <si>
    <t>Row Labels</t>
  </si>
  <si>
    <t>Grand Total</t>
  </si>
  <si>
    <t>Sum of Ağırlık</t>
  </si>
  <si>
    <t>PPF</t>
  </si>
  <si>
    <t>Hisse Fonu</t>
  </si>
  <si>
    <t>1. Hedef</t>
  </si>
  <si>
    <t>TR Hisse</t>
  </si>
  <si>
    <t>US Hisse</t>
  </si>
  <si>
    <t>Kıy. Maden</t>
  </si>
  <si>
    <t>2. Hedef</t>
  </si>
  <si>
    <t>3. Hedef</t>
  </si>
  <si>
    <t>4. Hedef</t>
  </si>
  <si>
    <t>Eurobond</t>
  </si>
  <si>
    <t>aylık</t>
  </si>
  <si>
    <t>stopaj</t>
  </si>
  <si>
    <t>Yatırım miktarı</t>
  </si>
  <si>
    <t>brüt kar</t>
  </si>
  <si>
    <t>net kar</t>
  </si>
  <si>
    <t>Net kar marjı</t>
  </si>
  <si>
    <t>Column1</t>
  </si>
  <si>
    <t>USD
                  Amerikan Doları</t>
  </si>
  <si>
    <t>EUR
                  Euro</t>
  </si>
  <si>
    <t>Dolar</t>
  </si>
  <si>
    <t>Tarih</t>
  </si>
  <si>
    <t>Notes</t>
  </si>
  <si>
    <t>Mavi columnda boş satır bırakma</t>
  </si>
  <si>
    <t>Ürün</t>
  </si>
  <si>
    <t>İşlem</t>
  </si>
  <si>
    <t>Toplam</t>
  </si>
  <si>
    <t>Toplam2</t>
  </si>
  <si>
    <t>Total</t>
  </si>
  <si>
    <t>Column Labels</t>
  </si>
  <si>
    <t>Sum of Dolar</t>
  </si>
  <si>
    <t>CHAT</t>
  </si>
  <si>
    <t>QQQ</t>
  </si>
  <si>
    <t>Birim</t>
  </si>
  <si>
    <t>TRY</t>
  </si>
  <si>
    <t>USD</t>
  </si>
  <si>
    <t>ETF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</si>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</sst>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[$$-409]* #,##0_ ;_-[$$-409]* \-#,##0\ ;_-[$$-409]* &quot;-&quot;??_ ;_-@_ "/>
    <numFmt numFmtId="167" formatCode="_-[$$-409]* #,##0.0_ ;_-[$$-409]* \-#,##0.0\ ;_-[$$-409]* &quot;-&quot;??_ ;_-@_ "/>
    <numFmt numFmtId="168" formatCode="_-&quot;₺&quot;* #,##0_-;\-&quot;₺&quot;* #,##0_-;_-&quot;₺&quot;* &quot;-&quot;??_-;_-@_-"/>
  </numFmts>
  <fonts count="7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2"/>
      <color theme="1"/>
      <name val="Arial"/>
      <family val="2"/>
      <charset val="162"/>
    </font>
    <font>
      <sz val="12"/>
      <color theme="1"/>
      <name val="Aptos Display"/>
      <family val="2"/>
    </font>
    <font>
      <sz val="22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9" fontId="3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5" fillId="0" borderId="0" xfId="0" applyFont="1"/>
    <xf numFmtId="9" fontId="5" fillId="0" borderId="0" xfId="1" applyFont="1"/>
    <xf numFmtId="165" fontId="5" fillId="0" borderId="0" xfId="0" applyNumberFormat="1" applyFont="1"/>
    <xf numFmtId="9" fontId="5" fillId="0" borderId="0" xfId="0" applyNumberFormat="1" applyFont="1"/>
    <xf numFmtId="165" fontId="6" fillId="0" borderId="0" xfId="2" applyNumberFormat="1" applyFont="1"/>
    <xf numFmtId="166" fontId="6" fillId="0" borderId="0" xfId="2" applyNumberFormat="1" applyFont="1"/>
    <xf numFmtId="166" fontId="5" fillId="0" borderId="0" xfId="0" applyNumberFormat="1" applyFont="1"/>
    <xf numFmtId="10" fontId="5" fillId="0" borderId="0" xfId="0" applyNumberFormat="1" applyFont="1"/>
    <xf numFmtId="43" fontId="5" fillId="0" borderId="0" xfId="0" applyNumberFormat="1" applyFont="1"/>
    <xf numFmtId="10" fontId="5" fillId="0" borderId="0" xfId="1" applyNumberFormat="1" applyFont="1"/>
    <xf numFmtId="167" fontId="3" fillId="0" borderId="0" xfId="0" applyNumberFormat="1" applyFont="1"/>
    <xf numFmtId="14" fontId="0" fillId="0" borderId="0" xfId="0" applyNumberFormat="1"/>
    <xf numFmtId="43" fontId="0" fillId="0" borderId="0" xfId="2" applyFont="1"/>
    <xf numFmtId="168" fontId="3" fillId="0" borderId="0" xfId="0" applyNumberFormat="1" applyFont="1"/>
    <xf numFmtId="3" fontId="2" fillId="0" borderId="0" xfId="0" applyNumberFormat="1" applyFont="1"/>
    <xf numFmtId="165" fontId="0" fillId="0" borderId="0" xfId="0" applyNumberFormat="1"/>
    <xf numFmtId="43" fontId="0" fillId="0" borderId="0" xfId="0" applyNumberFormat="1"/>
    <xf numFmtId="14" fontId="0" fillId="0" borderId="0" xfId="0" applyNumberFormat="1" applyAlignment="1">
      <alignment horizontal="left"/>
    </xf>
    <xf numFmtId="2" fontId="0" fillId="0" borderId="0" xfId="0" applyNumberForma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3" fillId="0" borderId="0" xfId="2" applyNumberFormat="1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30">
    <dxf>
      <numFmt numFmtId="0" formatCode="General"/>
    </dxf>
    <dxf>
      <numFmt numFmtId="0" formatCode="General"/>
    </dxf>
    <dxf>
      <numFmt numFmtId="165" formatCode="_-* #,##0_-;\-* #,##0_-;_-* &quot;-&quot;??_-;_-@_-"/>
    </dxf>
    <dxf>
      <numFmt numFmtId="2" formatCode="0.00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7" formatCode="_-[$$-409]* #,##0.0_ ;_-[$$-409]* \-#,##0.0\ ;_-[$$-409]* &quot;-&quot;??_ ;_-@_ "/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7" formatCode="_-[$$-409]* #,##0.0_ ;_-[$$-409]* \-#,##0.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4" formatCode="0.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8" formatCode="_-&quot;₺&quot;* #,##0_-;\-&quot;₺&quot;* #,##0_-;_-&quot;₺&quot;* &quot;-&quot;??_-;_-@_-"/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[wealth.xlsx]portföy!PivotTable5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portföy!$S$28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ED-48AB-BB33-940EB3D383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ED-48AB-BB33-940EB3D383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A4-4706-97B0-E71A1C2E5C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1F-4785-9E75-0008BC967D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31F-4785-9E75-0008BC967D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portföy!$R$29:$R$34</c:f>
              <c:strCache>
                <c:ptCount val="5"/>
                <c:pt idx="0">
                  <c:v>Kıymetli Maden</c:v>
                </c:pt>
                <c:pt idx="1">
                  <c:v>Hisse Fonu</c:v>
                </c:pt>
                <c:pt idx="2">
                  <c:v>PPF</c:v>
                </c:pt>
                <c:pt idx="3">
                  <c:v>ETF</c:v>
                </c:pt>
                <c:pt idx="4">
                  <c:v>CASH</c:v>
                </c:pt>
              </c:strCache>
            </c:strRef>
          </c:cat>
          <c:val>
            <c:numRef>
              <c:f>portföy!$S$29:$S$34</c:f>
              <c:numCache>
                <c:formatCode>0%</c:formatCode>
                <c:ptCount val="5"/>
                <c:pt idx="0">
                  <c:v>0.13607598613374883</c:v>
                </c:pt>
                <c:pt idx="1">
                  <c:v>3.1498654402176925E-2</c:v>
                </c:pt>
                <c:pt idx="2">
                  <c:v>0.64263966616679502</c:v>
                </c:pt>
                <c:pt idx="3">
                  <c:v>9.5006430460308905E-2</c:v>
                </c:pt>
                <c:pt idx="4">
                  <c:v>9.4779262836970343E-2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ED-48AB-BB33-940EB3D383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[wealth.xlsx]source!PivotTable1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7086152230971126E-2"/>
          <c:y val="0.13786818314377369"/>
          <c:w val="0.71465390026246722"/>
          <c:h val="0.6589012831729367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source!$P$3:$P$4</c:f>
              <c:strCache>
                <c:ptCount val="1"/>
                <c:pt idx="0">
                  <c:v>Hisse Fonu</c:v>
                </c:pt>
              </c:strCache>
            </c:strRef>
          </c:tx>
          <c:invertIfNegative val="0"/>
          <c:cat>
            <c:strRef>
              <c:f>source!$O$5:$O$7</c:f>
              <c:strCache>
                <c:ptCount val="2"/>
                <c:pt idx="0">
                  <c:v>23.05.2011</c:v>
                </c:pt>
                <c:pt idx="1">
                  <c:v>1.10.2025</c:v>
                </c:pt>
              </c:strCache>
            </c:strRef>
          </c:cat>
          <c:val>
            <c:numRef>
              <c:f>source!$P$5:$P$7</c:f>
              <c:numCache>
                <c:formatCode>General</c:formatCode>
                <c:ptCount val="2"/>
                <c:pt idx="0">
                  <c:v>97.669552527820628</c:v>
                </c:pt>
                <c:pt idx="1">
                  <c:v>99.13999817267279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BA5-49A4-B5EF-B483414D708E}"/>
            </c:ext>
          </c:extLst>
        </c:ser>
        <c:ser>
          <c:idx val="1"/>
          <c:order val="1"/>
          <c:tx>
            <c:strRef>
              <c:f>source!$Q$3:$Q$4</c:f>
              <c:strCache>
                <c:ptCount val="1"/>
                <c:pt idx="0">
                  <c:v>Kıymetli Maden</c:v>
                </c:pt>
              </c:strCache>
            </c:strRef>
          </c:tx>
          <c:invertIfNegative val="0"/>
          <c:cat>
            <c:strRef>
              <c:f>source!$O$5:$O$7</c:f>
              <c:strCache>
                <c:ptCount val="2"/>
                <c:pt idx="0">
                  <c:v>23.05.2011</c:v>
                </c:pt>
                <c:pt idx="1">
                  <c:v>1.10.2025</c:v>
                </c:pt>
              </c:strCache>
            </c:strRef>
          </c:cat>
          <c:val>
            <c:numRef>
              <c:f>source!$Q$5:$Q$7</c:f>
              <c:numCache>
                <c:formatCode>General</c:formatCode>
                <c:ptCount val="2"/>
                <c:pt idx="0">
                  <c:v>216.20774028118819</c:v>
                </c:pt>
                <c:pt idx="1">
                  <c:v>405.6505669523068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BA5-49A4-B5EF-B483414D708E}"/>
            </c:ext>
          </c:extLst>
        </c:ser>
        <c:ser>
          <c:idx val="2"/>
          <c:order val="2"/>
          <c:tx>
            <c:strRef>
              <c:f>source!$R$3:$R$4</c:f>
              <c:strCache>
                <c:ptCount val="1"/>
                <c:pt idx="0">
                  <c:v>PPF</c:v>
                </c:pt>
              </c:strCache>
            </c:strRef>
          </c:tx>
          <c:invertIfNegative val="0"/>
          <c:cat>
            <c:strRef>
              <c:f>source!$O$5:$O$7</c:f>
              <c:strCache>
                <c:ptCount val="2"/>
                <c:pt idx="0">
                  <c:v>23.05.2011</c:v>
                </c:pt>
                <c:pt idx="1">
                  <c:v>1.10.2025</c:v>
                </c:pt>
              </c:strCache>
            </c:strRef>
          </c:cat>
          <c:val>
            <c:numRef>
              <c:f>source!$R$5:$R$7</c:f>
              <c:numCache>
                <c:formatCode>General</c:formatCode>
                <c:ptCount val="2"/>
                <c:pt idx="0">
                  <c:v>1255.8041061059321</c:v>
                </c:pt>
                <c:pt idx="1">
                  <c:v>2561.7269214826356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A5-49A4-B5EF-B483414D7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178153904"/>
        <c:axId val="1178154864"/>
        <c:axId val="0"/>
      </c:bar3DChart>
      <c:catAx>
        <c:axId val="117815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54864"/>
        <c:crosses val="autoZero"/>
        <c:auto val="1"/>
        <c:lblAlgn val="ctr"/>
        <c:lblOffset val="100"/>
        <c:noMultiLvlLbl val="0"/>
      </c:catAx>
      <c:valAx>
        <c:axId val="117815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5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[wealth.xlsx]source!PivotTable1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source!$P$3:$P$4</c:f>
              <c:strCache>
                <c:ptCount val="1"/>
                <c:pt idx="0">
                  <c:v>Hisse Fonu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source!$O$5:$O$7</c:f>
              <c:strCache>
                <c:ptCount val="2"/>
                <c:pt idx="0">
                  <c:v>23.05.2011</c:v>
                </c:pt>
                <c:pt idx="1">
                  <c:v>1.10.2025</c:v>
                </c:pt>
              </c:strCache>
            </c:strRef>
          </c:cat>
          <c:val>
            <c:numRef>
              <c:f>source!$P$5:$P$7</c:f>
              <c:numCache>
                <c:formatCode>General</c:formatCode>
                <c:ptCount val="2"/>
                <c:pt idx="0">
                  <c:v>97.669552527820628</c:v>
                </c:pt>
                <c:pt idx="1">
                  <c:v>99.13999817267279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B-434D-AE67-BFBE19821B2D}"/>
            </c:ext>
          </c:extLst>
        </c:ser>
        <c:ser>
          <c:idx val="1"/>
          <c:order val="1"/>
          <c:tx>
            <c:strRef>
              <c:f>source!$Q$3:$Q$4</c:f>
              <c:strCache>
                <c:ptCount val="1"/>
                <c:pt idx="0">
                  <c:v>Kıymetli Maden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source!$O$5:$O$7</c:f>
              <c:strCache>
                <c:ptCount val="2"/>
                <c:pt idx="0">
                  <c:v>23.05.2011</c:v>
                </c:pt>
                <c:pt idx="1">
                  <c:v>1.10.2025</c:v>
                </c:pt>
              </c:strCache>
            </c:strRef>
          </c:cat>
          <c:val>
            <c:numRef>
              <c:f>source!$Q$5:$Q$7</c:f>
              <c:numCache>
                <c:formatCode>General</c:formatCode>
                <c:ptCount val="2"/>
                <c:pt idx="0">
                  <c:v>216.20774028118819</c:v>
                </c:pt>
                <c:pt idx="1">
                  <c:v>405.6505669523068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B-434D-AE67-BFBE19821B2D}"/>
            </c:ext>
          </c:extLst>
        </c:ser>
        <c:ser>
          <c:idx val="2"/>
          <c:order val="2"/>
          <c:tx>
            <c:strRef>
              <c:f>source!$R$3:$R$4</c:f>
              <c:strCache>
                <c:ptCount val="1"/>
                <c:pt idx="0">
                  <c:v>PPF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source!$O$5:$O$7</c:f>
              <c:strCache>
                <c:ptCount val="2"/>
                <c:pt idx="0">
                  <c:v>23.05.2011</c:v>
                </c:pt>
                <c:pt idx="1">
                  <c:v>1.10.2025</c:v>
                </c:pt>
              </c:strCache>
            </c:strRef>
          </c:cat>
          <c:val>
            <c:numRef>
              <c:f>source!$R$5:$R$7</c:f>
              <c:numCache>
                <c:formatCode>General</c:formatCode>
                <c:ptCount val="2"/>
                <c:pt idx="0">
                  <c:v>1255.8041061059321</c:v>
                </c:pt>
                <c:pt idx="1">
                  <c:v>2561.7269214826356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BB-434D-AE67-BFBE1982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8729696"/>
        <c:axId val="558734976"/>
        <c:axId val="0"/>
      </c:bar3DChart>
      <c:catAx>
        <c:axId val="55872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34976"/>
        <c:crosses val="autoZero"/>
        <c:auto val="1"/>
        <c:lblAlgn val="ctr"/>
        <c:lblOffset val="100"/>
        <c:noMultiLvlLbl val="0"/>
      </c:catAx>
      <c:valAx>
        <c:axId val="55873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2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478909</xdr:colOff>
      <xdr:row>10</xdr:row>
      <xdr:rowOff>90375</xdr:rowOff>
    </xdr:from>
    <xdr:to>
      <xdr:col>18</xdr:col>
      <xdr:colOff>781936</xdr:colOff>
      <xdr:row>25</xdr:row>
      <xdr:rowOff>109424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E4C629-21C6-41FC-9498-5517B8DBF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420872</xdr:colOff>
      <xdr:row>1</xdr:row>
      <xdr:rowOff>166135</xdr:rowOff>
    </xdr:from>
    <xdr:to>
      <xdr:col>14</xdr:col>
      <xdr:colOff>177210</xdr:colOff>
      <xdr:row>3</xdr:row>
      <xdr:rowOff>88606</xdr:rowOff>
    </xdr:to>
    <xdr:sp macro="[0]!Rectangle1_Click" textlink="">
      <xdr:nvSpPr>
        <xdr:cNvPr id="2" name="Rectangle 1">
          <a:extLst>
            <a:ext uri="{FF2B5EF4-FFF2-40B4-BE49-F238E27FC236}">
              <a16:creationId xmlns:a16="http://schemas.microsoft.com/office/drawing/2014/main" id="{AB28BC52-D654-E398-0E60-80DD9169693D}"/>
            </a:ext>
          </a:extLst>
        </xdr:cNvPr>
        <xdr:cNvSpPr/>
      </xdr:nvSpPr>
      <xdr:spPr>
        <a:xfrm>
          <a:off x="9513924" y="409798"/>
          <a:ext cx="1373373" cy="40979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/>
            <a:t>Fiyatları</a:t>
          </a:r>
          <a:r>
            <a:rPr lang="tr-TR" sz="1100" baseline="0"/>
            <a:t> Güncelle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200025</xdr:colOff>
      <xdr:row>10</xdr:row>
      <xdr:rowOff>176212</xdr:rowOff>
    </xdr:from>
    <xdr:to>
      <xdr:col>18</xdr:col>
      <xdr:colOff>504825</xdr:colOff>
      <xdr:row>25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141260-AD4A-1232-3033-897631623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304800</xdr:colOff>
      <xdr:row>27</xdr:row>
      <xdr:rowOff>185737</xdr:rowOff>
    </xdr:from>
    <xdr:to>
      <xdr:col>17</xdr:col>
      <xdr:colOff>476250</xdr:colOff>
      <xdr:row>42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7EFDBA-936B-44AB-39CC-8A0A939EB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40.955467824075" createdVersion="8" refreshedVersion="8" minRefreshableVersion="3" recordCount="9" xr:uid="{A310B7F0-CCD2-42CA-9A34-B5E26483526B}">
  <cacheSource type="worksheet">
    <worksheetSource name="Portfoy"/>
  </cacheSource>
  <cacheFields count="11">
    <cacheField name="Kategori" numFmtId="0">
      <sharedItems count="6">
        <s v="Kıymetli Maden"/>
        <s v="Hisse Fonu"/>
        <s v="PPF"/>
        <s v="ETF"/>
        <s v="CASH"/>
        <s v="Fon" u="1"/>
      </sharedItems>
    </cacheField>
    <cacheField name="Hisse" numFmtId="0">
      <sharedItems/>
    </cacheField>
    <cacheField name="Fiyat" numFmtId="0">
      <sharedItems containsSemiMixedTypes="0" containsString="0" containsNumber="1" minValue="9.6969E-2" maxValue="5414.48"/>
    </cacheField>
    <cacheField name="Adet" numFmtId="0">
      <sharedItems containsSemiMixedTypes="0" containsString="0" containsNumber="1" minValue="0.16200000000000001" maxValue="872481"/>
    </cacheField>
    <cacheField name="Ort. Maliyet" numFmtId="0">
      <sharedItems containsSemiMixedTypes="0" containsString="0" containsNumber="1" minValue="9.6315461412913292E-2" maxValue="4069.649564102564"/>
    </cacheField>
    <cacheField name="Değer" numFmtId="3">
      <sharedItems containsSemiMixedTypes="0" containsString="0" containsNumber="1" minValue="208.195638" maxValue="84603.610088999994"/>
    </cacheField>
    <cacheField name="Birim" numFmtId="164">
      <sharedItems/>
    </cacheField>
    <cacheField name="Kar" numFmtId="165">
      <sharedItems containsSemiMixedTypes="0" containsString="0" containsNumber="1" minValue="0.15049800000001415" maxValue="2097.9354799999996"/>
    </cacheField>
    <cacheField name="Kar Oranı" numFmtId="0">
      <sharedItems containsNonDate="0" containsString="0" containsBlank="1"/>
    </cacheField>
    <cacheField name="Ağırlık" numFmtId="9">
      <sharedItems containsSemiMixedTypes="0" containsString="0" containsNumber="1" minValue="1.5775489527056384E-3" maxValue="0.64106211721408934"/>
    </cacheField>
    <cacheField name="Dolar" numFmtId="167">
      <sharedItems containsSemiMixedTypes="0" containsString="0" containsNumber="1" minValue="4.9933357956766695" maxValue="2029.12144922496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40.955468055552" createdVersion="8" refreshedVersion="8" minRefreshableVersion="3" recordCount="10" xr:uid="{6E5801D2-EF60-4C6D-95A4-992829BCA4A0}">
  <cacheSource type="worksheet">
    <worksheetSource ref="A1:K11" sheet="source"/>
  </cacheSource>
  <cacheFields count="14">
    <cacheField name="Tarih" numFmtId="14">
      <sharedItems containsSemiMixedTypes="0" containsNonDate="0" containsDate="1" containsString="0" minDate="2011-05-23T00:00:00" maxDate="2025-10-02T00:00:00" count="2">
        <d v="2011-05-23T00:00:00"/>
        <d v="2025-10-01T00:00:00"/>
      </sharedItems>
      <fieldGroup par="13"/>
    </cacheField>
    <cacheField name="Kategori" numFmtId="0">
      <sharedItems count="3">
        <s v="Kıymetli Maden"/>
        <s v="Hisse Fonu"/>
        <s v="PPF"/>
      </sharedItems>
    </cacheField>
    <cacheField name="Hisse" numFmtId="0">
      <sharedItems/>
    </cacheField>
    <cacheField name="Fiyat" numFmtId="0">
      <sharedItems containsSemiMixedTypes="0" containsString="0" containsNumber="1" minValue="9.5207E-2" maxValue="5281.11"/>
    </cacheField>
    <cacheField name="Adet" numFmtId="0">
      <sharedItems containsSemiMixedTypes="0" containsString="0" containsNumber="1" minValue="1.56" maxValue="1102568"/>
    </cacheField>
    <cacheField name="Ort. Maliyet" numFmtId="0">
      <sharedItems containsString="0" containsBlank="1" containsNumber="1" minValue="9.5927843688552547E-2" maxValue="4069.649564102564"/>
    </cacheField>
    <cacheField name="Değer" numFmtId="0">
      <sharedItems containsSemiMixedTypes="0" containsString="0" containsNumber="1" minValue="207.10128600000002" maxValue="106337.17076000001"/>
    </cacheField>
    <cacheField name="Kar" numFmtId="0">
      <sharedItems containsString="0" containsBlank="1" containsNumber="1" minValue="6.5800000000000214" maxValue="1889.8782799999997"/>
    </cacheField>
    <cacheField name="Kar Oranı" numFmtId="0">
      <sharedItems containsNonDate="0" containsString="0" containsBlank="1"/>
    </cacheField>
    <cacheField name="Ağırlık" numFmtId="0">
      <sharedItems containsSemiMixedTypes="0" containsString="0" containsNumber="1" minValue="1.6238281877912699E-3" maxValue="0.83376254500931302"/>
    </cacheField>
    <cacheField name="Dolar" numFmtId="0">
      <sharedItems containsSemiMixedTypes="0" containsString="0" containsNumber="1" minValue="4.979497533108284" maxValue="2556.7474239495273"/>
    </cacheField>
    <cacheField name="Months (Tarih)" numFmtId="0" databaseField="0">
      <fieldGroup base="0">
        <rangePr groupBy="months" startDate="2011-05-23T00:00:00" endDate="2025-10-02T00:00:00"/>
        <groupItems count="14">
          <s v="&lt;23.05.2011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.10.2025"/>
        </groupItems>
      </fieldGroup>
    </cacheField>
    <cacheField name="Quarters (Tarih)" numFmtId="0" databaseField="0">
      <fieldGroup base="0">
        <rangePr groupBy="quarters" startDate="2011-05-23T00:00:00" endDate="2025-10-02T00:00:00"/>
        <groupItems count="6">
          <s v="&lt;23.05.2011"/>
          <s v="Qtr1"/>
          <s v="Qtr2"/>
          <s v="Qtr3"/>
          <s v="Qtr4"/>
          <s v="&gt;2.10.2025"/>
        </groupItems>
      </fieldGroup>
    </cacheField>
    <cacheField name="Years (Tarih)" numFmtId="0" databaseField="0">
      <fieldGroup base="0">
        <rangePr groupBy="years" startDate="2011-05-23T00:00:00" endDate="2025-10-02T00:00:00"/>
        <groupItems count="17">
          <s v="&lt;23.05.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2.10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Altıns1"/>
    <n v="72.06"/>
    <n v="132"/>
    <n v="62.91"/>
    <n v="9511.92"/>
    <s v="TRY"/>
    <n v="1207.8000000000006"/>
    <m/>
    <n v="7.2074129786618368E-2"/>
    <n v="228.13259239183878"/>
  </r>
  <r>
    <x v="0"/>
    <s v="Garanti Altın"/>
    <n v="5414.48"/>
    <n v="1.56"/>
    <n v="4069.649564102564"/>
    <n v="8446.5887999999995"/>
    <s v="TRY"/>
    <n v="2097.9354799999996"/>
    <m/>
    <n v="6.4001856347130445E-2"/>
    <n v="202.58183414198928"/>
  </r>
  <r>
    <x v="1"/>
    <s v="GTY"/>
    <n v="4.8676899999999996"/>
    <n v="854"/>
    <n v="4.7215658782201402"/>
    <n v="4157.0072599999994"/>
    <s v="TRY"/>
    <n v="124.78999999999996"/>
    <m/>
    <n v="3.1498654402176925E-2"/>
    <n v="99.701095343053183"/>
  </r>
  <r>
    <x v="2"/>
    <s v="GBN"/>
    <n v="4.957039"/>
    <n v="42"/>
    <n v="4.8003723333333328"/>
    <n v="208.195638"/>
    <s v="TRY"/>
    <n v="6.5800000000000214"/>
    <m/>
    <n v="1.5775489527056384E-3"/>
    <n v="4.9933357956766695"/>
  </r>
  <r>
    <x v="2"/>
    <s v="GTL"/>
    <n v="9.6969E-2"/>
    <n v="872481"/>
    <n v="9.6315461412913292E-2"/>
    <n v="84603.610088999994"/>
    <s v="TRY"/>
    <n v="570.19999999999789"/>
    <m/>
    <n v="0.64106211721408934"/>
    <n v="2029.1214492249615"/>
  </r>
  <r>
    <x v="3"/>
    <s v="CHAT"/>
    <n v="64.760000000000005"/>
    <n v="1.552"/>
    <n v="64.430000000000007"/>
    <n v="4189.9373922560007"/>
    <s v="USD"/>
    <n v="0.5121599999999974"/>
    <m/>
    <n v="3.1748174018207079E-2"/>
    <n v="100.49088714527268"/>
  </r>
  <r>
    <x v="3"/>
    <s v="VOO"/>
    <n v="618.21"/>
    <n v="0.16200000000000001"/>
    <n v="617.28099999999995"/>
    <n v="4175.0340037560009"/>
    <s v="USD"/>
    <n v="0.15049800000001415"/>
    <m/>
    <n v="3.1635247421157336E-2"/>
    <n v="100.13344630746836"/>
  </r>
  <r>
    <x v="3"/>
    <s v="QQQ"/>
    <n v="609.32000000000005"/>
    <n v="0.1643"/>
    <n v="608.39"/>
    <n v="4173.4188516328004"/>
    <s v="USD"/>
    <n v="0.15279900000001045"/>
    <m/>
    <n v="3.1623009020944483E-2"/>
    <n v="100.09470871916096"/>
  </r>
  <r>
    <x v="4"/>
    <s v="CASH"/>
    <n v="41.694699999999997"/>
    <n v="300"/>
    <n v="41.591000000000001"/>
    <n v="12508.41"/>
    <s v="USD"/>
    <n v="31.109999999998905"/>
    <m/>
    <n v="9.4779262836970343E-2"/>
    <n v="3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Altıns1"/>
    <n v="58.44"/>
    <n v="20"/>
    <m/>
    <n v="1168.8"/>
    <m/>
    <m/>
    <n v="1.7978315788413472E-2"/>
    <n v="28.220227876891428"/>
  </r>
  <r>
    <x v="0"/>
    <x v="0"/>
    <s v="Garanti Altın"/>
    <n v="4990.96"/>
    <n v="1.56"/>
    <m/>
    <n v="7785.8976000000002"/>
    <m/>
    <m/>
    <n v="0.11976157233833895"/>
    <n v="187.98751240429678"/>
  </r>
  <r>
    <x v="0"/>
    <x v="1"/>
    <s v="GTY"/>
    <n v="4.7367559999999997"/>
    <n v="854"/>
    <m/>
    <n v="4045.1896239999996"/>
    <m/>
    <m/>
    <n v="6.2222532926322335E-2"/>
    <n v="97.669552527820628"/>
  </r>
  <r>
    <x v="0"/>
    <x v="2"/>
    <s v="GBN"/>
    <n v="4.8690090000000001"/>
    <n v="5272"/>
    <m/>
    <n v="25669.415448"/>
    <m/>
    <m/>
    <n v="0.39484330683446534"/>
    <n v="619.77819422412483"/>
  </r>
  <r>
    <x v="0"/>
    <x v="2"/>
    <s v="GTL"/>
    <n v="9.5207E-2"/>
    <n v="276685"/>
    <m/>
    <n v="26342.348795000002"/>
    <m/>
    <m/>
    <n v="0.4051942721124599"/>
    <n v="636.02591188180736"/>
  </r>
  <r>
    <x v="1"/>
    <x v="0"/>
    <s v="Altıns1"/>
    <n v="65.400000000000006"/>
    <n v="132"/>
    <n v="62.91"/>
    <n v="8632.8000000000011"/>
    <n v="328.6800000000012"/>
    <m/>
    <n v="6.7687575728353877E-2"/>
    <n v="207.56513459707438"/>
  </r>
  <r>
    <x v="1"/>
    <x v="0"/>
    <s v="Garanti Altın"/>
    <n v="5281.11"/>
    <n v="1.56"/>
    <n v="4069.649564102564"/>
    <n v="8238.5316000000003"/>
    <n v="1889.8782799999997"/>
    <m/>
    <n v="6.45962180944116E-2"/>
    <n v="198.0854323552324"/>
  </r>
  <r>
    <x v="1"/>
    <x v="1"/>
    <s v="GTY"/>
    <n v="4.8282340000000001"/>
    <n v="854"/>
    <n v="4.6821098782201407"/>
    <n v="4123.3118359999999"/>
    <n v="124.78999999999996"/>
    <m/>
    <n v="3.2329832980130181E-2"/>
    <n v="99.13999817267279"/>
  </r>
  <r>
    <x v="1"/>
    <x v="2"/>
    <s v="GBN"/>
    <n v="4.9309830000000003"/>
    <n v="42"/>
    <n v="4.7743163333333332"/>
    <n v="207.10128600000002"/>
    <n v="6.5800000000000214"/>
    <m/>
    <n v="1.6238281877912699E-3"/>
    <n v="4.979497533108284"/>
  </r>
  <r>
    <x v="1"/>
    <x v="2"/>
    <s v="GTL"/>
    <n v="9.6445000000000003E-2"/>
    <n v="1102568"/>
    <n v="9.5927843688552547E-2"/>
    <n v="106337.17076000001"/>
    <n v="570.19999999999857"/>
    <m/>
    <n v="0.83376254500931302"/>
    <n v="2556.74742394952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8D591-DC91-4C2B-B3F1-F5960C124D0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R28:S34" firstHeaderRow="1" firstDataRow="1" firstDataCol="1"/>
  <pivotFields count="11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/>
    <pivotField numFmtId="164" showAll="0"/>
    <pivotField showAll="0"/>
    <pivotField showAll="0"/>
    <pivotField numFmtId="3" showAll="0"/>
    <pivotField showAll="0"/>
    <pivotField showAll="0"/>
    <pivotField showAll="0"/>
    <pivotField dataField="1" numFmtId="9" showAll="0"/>
    <pivotField numFmtId="167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ğırlık" fld="9" baseField="0" baseItem="0" numFmtId="9"/>
  </dataFields>
  <chartFormats count="1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0B202-FD46-426F-8188-76ECF6B44DE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O3:S7" firstHeaderRow="1" firstDataRow="2" firstDataCol="1"/>
  <pivotFields count="14">
    <pivotField axis="axisRow" numFmtId="14" showAll="0">
      <items count="3"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olar" fld="10" baseField="0" baseItem="0"/>
  </dataFields>
  <chartFormats count="9"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F55813-B81C-481C-93D8-60A337876042}" autoFormatId="16" applyNumberFormats="0" applyBorderFormats="0" applyFontFormats="0" applyPatternFormats="0" applyAlignmentFormats="0" applyWidthHeightFormats="0">
  <queryTableRefresh nextId="4">
    <queryTableFields count="3">
      <queryTableField id="1" name="Altın Kuru" tableColumnId="1"/>
      <queryTableField id="2" name="Alış" tableColumnId="2"/>
      <queryTableField id="3" name="Satış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E91803B-7291-4753-90E5-77E66F0A55A4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Alış" tableColumnId="2"/>
      <queryTableField id="3" name="Satış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BE567F9-A80D-44E4-BC03-70D0D8E5CDAC}" autoFormatId="16" applyNumberFormats="0" applyBorderFormats="0" applyFontFormats="0" applyPatternFormats="0" applyAlignmentFormats="0" applyWidthHeightFormats="0">
  <queryTableRefresh nextId="6">
    <queryTableFields count="1">
      <queryTableField id="3" name="Price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05C2FB9-6E1D-4E3B-8A1F-F9976D9B84D1}" autoFormatId="16" applyNumberFormats="0" applyBorderFormats="0" applyFontFormats="0" applyPatternFormats="0" applyAlignmentFormats="0" applyWidthHeightFormats="0">
  <queryTableRefresh nextId="2">
    <queryTableFields count="1">
      <queryTableField id="1" name="Fiyat" tableColumnId="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F336559-8ED5-40D4-9B74-B872F21A0561}" name="Portfoy" displayName="Portfoy" ref="A1:K11" totalsRowCount="1" headerRowDxfId="29" dataDxfId="28" totalsRowDxfId="27">
  <tableColumns count="11">
    <tableColumn id="1" xr3:uid="{48D53AFD-5444-4844-8742-7F358C8568F6}" name="Kategori" dataDxfId="26" totalsRowDxfId="25"/>
    <tableColumn id="2" xr3:uid="{A822DFE6-6998-4C41-973C-06983BD0E1C7}" name="Hisse" dataDxfId="24" totalsRowDxfId="23"/>
    <tableColumn id="3" xr3:uid="{66C01704-FB29-48B2-830D-EAE51B5969BD}" name="Fiyat" dataDxfId="22" totalsRowDxfId="21">
      <calculatedColumnFormula array="1">vlok</calculatedColumnFormula>
    </tableColumn>
    <tableColumn id="4" xr3:uid="{454AA907-9658-4432-968F-25004FA433A7}" name="Adet" dataDxfId="20" totalsRowDxfId="19"/>
    <tableColumn id="5" xr3:uid="{88C836CF-E996-487A-B6A8-C70D033C69BF}" name="Ort. Maliyet" dataDxfId="18" totalsRowDxfId="17"/>
    <tableColumn id="6" xr3:uid="{1C4E773F-B8F1-4815-840D-5DD4CCB8827D}" name="Değer" totalsRowFunction="sum" dataDxfId="16" totalsRowDxfId="15">
      <calculatedColumnFormula>Portfoy[[#This Row],[Fiyat]]*Portfoy[[#This Row],[Adet]]</calculatedColumnFormula>
    </tableColumn>
    <tableColumn id="11" xr3:uid="{215B593F-B036-4651-B273-426EB9D5DDC3}" name="Birim" dataDxfId="14" totalsRowDxfId="13"/>
    <tableColumn id="7" xr3:uid="{E85750FD-BC64-40A8-9D40-C72D97093FD8}" name="Kar" dataDxfId="12" totalsRowDxfId="11" dataCellStyle="Comma">
      <calculatedColumnFormula>(Portfoy[[#This Row],[Fiyat]]-Portfoy[[#This Row],[Ort. Maliyet]])*Portfoy[[#This Row],[Adet]]</calculatedColumnFormula>
    </tableColumn>
    <tableColumn id="8" xr3:uid="{59A73368-F752-4C9B-B818-B2FFCD2700EB}" name="Kar Oranı" dataDxfId="10" totalsRowDxfId="9"/>
    <tableColumn id="9" xr3:uid="{EB3B2937-6F59-4D56-9DC6-A713C9982ACE}" name="Ağırlık" dataDxfId="8" totalsRowDxfId="7" dataCellStyle="Percent">
      <calculatedColumnFormula>Portfoy[[#This Row],[Dolar]]/Portfoy[[#Totals],[Dolar]]</calculatedColumnFormula>
    </tableColumn>
    <tableColumn id="10" xr3:uid="{4C68CF79-5DBC-46CE-984F-7389CBF6FAB5}" name="Dolar" totalsRowFunction="sum" dataDxfId="6" totalsRowDxfId="5">
      <calculatedColumnFormula>IF(Portfoy[[#This Row],[Birim]]="TRY",Portfoy[[#This Row],[Değer]]/'soruce altın&amp;dolar'!$C$7,Portfoy[[#This Row],[Değer]]/'soruce altın&amp;dolar'!$C$7)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899F70-6D06-4726-B303-CA7C33ACC340}" name="garantialtın_cost" displayName="garantialtın_cost" ref="A1:I7" totalsRowCount="1">
  <autoFilter ref="A1:I6" xr:uid="{58899F70-6D06-4726-B303-CA7C33ACC340}"/>
  <tableColumns count="9">
    <tableColumn id="1" xr3:uid="{CB27CD0B-D324-41D0-82AC-78227DBC1405}" name="Tarih" totalsRowLabel="Total" dataDxfId="4"/>
    <tableColumn id="2" xr3:uid="{43CCC218-E28C-4F4C-BBB1-0DAD0A46BF73}" name="Ürün"/>
    <tableColumn id="3" xr3:uid="{C65661CF-3226-43C7-A0B1-2240002B80F4}" name="Adet" dataDxfId="3"/>
    <tableColumn id="4" xr3:uid="{8C018744-5118-47C5-8614-97414B4B0415}" name="İşlem"/>
    <tableColumn id="5" xr3:uid="{A75A6978-93AF-414C-8ECE-EDEDA84107F9}" name="Fiyat"/>
    <tableColumn id="9" xr3:uid="{4F999DCE-0FDC-4D55-8E3E-E604C1B10DE5}" name="Birim"/>
    <tableColumn id="6" xr3:uid="{DAEFF2E1-405E-4514-9D39-3482676D6EB7}" name="Toplam" totalsRowFunction="custom" totalsRowDxfId="2">
      <calculatedColumnFormula>C2*E2</calculatedColumnFormula>
      <totalsRowFormula>SUM(garantialtın_cost[Toplam])/garantialtın_cost[[#Totals],[Adet]]</totalsRowFormula>
    </tableColumn>
    <tableColumn id="7" xr3:uid="{22117272-3B5D-466E-9015-30758B274DE4}" name="Dolar"/>
    <tableColumn id="8" xr3:uid="{56701B79-77C0-4ABB-A824-8DA03BAD4423}" name="Toplam2" totalsRowFunction="cou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364FF-8DF4-41D9-ABB0-E81A0C9A4297}" name="Garanti_altın_doviz" displayName="Garanti_altın_doviz" ref="A1:C2" tableType="queryTable" totalsRowShown="0">
  <autoFilter ref="A1:C2" xr:uid="{CB8364FF-8DF4-41D9-ABB0-E81A0C9A4297}"/>
  <tableColumns count="3">
    <tableColumn id="1" xr3:uid="{351B6F90-7AB8-4740-9E7A-5B997E694F93}" uniqueName="1" name="Altın Kuru" queryTableFieldId="1" dataDxfId="1"/>
    <tableColumn id="2" xr3:uid="{612DD290-8FEA-415B-809D-E1559A66AB93}" uniqueName="2" name="Alış" queryTableFieldId="2"/>
    <tableColumn id="3" xr3:uid="{31CAB10E-0409-4D42-BF9E-ED49D8650302}" uniqueName="3" name="Satış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A59251-E25A-47A6-9D3A-D37400704E71}" name="Table_1" displayName="Table_1" ref="A6:C8" tableType="queryTable" totalsRowShown="0">
  <autoFilter ref="A6:C8" xr:uid="{1AA59251-E25A-47A6-9D3A-D37400704E71}"/>
  <tableColumns count="3">
    <tableColumn id="1" xr3:uid="{1E28CBC5-6DB4-4D24-8ABD-24AA35ED0716}" uniqueName="1" name="Column1" queryTableFieldId="1" dataDxfId="0"/>
    <tableColumn id="2" xr3:uid="{8EADF353-00A9-4910-B103-94E10DC4B491}" uniqueName="2" name="Alış" queryTableFieldId="2"/>
    <tableColumn id="3" xr3:uid="{B506A7E6-D9B0-4C0E-B1F8-9F71C5AA5ECB}" uniqueName="3" name="Satış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CA1C0C-A579-4B84-A04E-38F6C5611AFC}" name="Table9" displayName="Table9" ref="A1:B7" totalsRowShown="0">
  <autoFilter ref="A1:B7" xr:uid="{D4CA1C0C-A579-4B84-A04E-38F6C5611AFC}"/>
  <sortState xmlns:xlrd2="http://schemas.microsoft.com/office/spreadsheetml/2017/richdata2" ref="A2:B5">
    <sortCondition ref="A2:A5"/>
  </sortState>
  <tableColumns count="2">
    <tableColumn id="3" xr3:uid="{4BAE1B69-7D1C-4A10-B354-55AED7B5DB2C}" name="İsim"/>
    <tableColumn id="1" xr3:uid="{DBE782A4-50B6-465E-8EAA-5DF894CDCD3D}" name="Tick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3E4F76-98C0-4D6C-B3D6-211D6F2F8605}" name="Tradingview_prices" displayName="Tradingview_prices" ref="C1:C7" tableType="queryTable" totalsRowShown="0">
  <autoFilter ref="C1:C7" xr:uid="{E03E4F76-98C0-4D6C-B3D6-211D6F2F8605}"/>
  <tableColumns count="1">
    <tableColumn id="3" xr3:uid="{50FBA0C7-6003-4405-98C8-657591A5A539}" uniqueName="3" name="Price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78B94B-25F8-43C9-9964-33A08E4F1537}" name="Table5" displayName="Table5" ref="A1:A6" totalsRowShown="0">
  <autoFilter ref="A1:A6" xr:uid="{9878B94B-25F8-43C9-9964-33A08E4F1537}"/>
  <sortState xmlns:xlrd2="http://schemas.microsoft.com/office/spreadsheetml/2017/richdata2" ref="A2:A12">
    <sortCondition descending="1" ref="A2:A12"/>
  </sortState>
  <tableColumns count="1">
    <tableColumn id="1" xr3:uid="{3EDC892D-136E-4E9A-9EAB-C7C17F91AD80}" name="Tick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A20A14-84B0-4949-B852-CDDC1C0FAD3B}" name="Tefas_Fiyatları" displayName="Tefas_Fiyatları" ref="B1:B6" tableType="queryTable" totalsRowShown="0">
  <autoFilter ref="B1:B6" xr:uid="{8BA20A14-84B0-4949-B852-CDDC1C0FAD3B}"/>
  <tableColumns count="1">
    <tableColumn id="1" xr3:uid="{31EB1F78-7DD0-40D9-B142-56908FADC9D0}" uniqueName="1" name="Fiyat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72EA-25C8-4FB5-912E-ADDFECBAF9DD}">
  <sheetPr codeName="Sheet1"/>
  <dimension ref="A1:S34"/>
  <sheetViews>
    <sheetView tabSelected="1" zoomScale="86" zoomScaleNormal="100" workbookViewId="0">
      <pane ySplit="1" topLeftCell="A2" activePane="bottomLeft" state="frozen"/>
      <selection pane="bottomLeft" activeCell="F19" sqref="F19"/>
    </sheetView>
  </sheetViews>
  <sheetFormatPr defaultColWidth="12.7109375" defaultRowHeight="20.100000000000001" customHeight="1" x14ac:dyDescent="0.25"/>
  <cols>
    <col min="1" max="1" width="16.5703125" style="1" bestFit="1" customWidth="1"/>
    <col min="2" max="2" width="13.42578125" style="1" bestFit="1" customWidth="1"/>
    <col min="3" max="3" width="14.7109375" style="1" bestFit="1" customWidth="1"/>
    <col min="5" max="5" width="10.7109375" style="1" bestFit="1" customWidth="1"/>
    <col min="7" max="7" width="6.140625" style="1" bestFit="1" customWidth="1"/>
    <col min="8" max="8" width="8" style="1" bestFit="1" customWidth="1"/>
    <col min="9" max="9" width="12.5703125" style="1" bestFit="1" customWidth="1"/>
    <col min="10" max="10" width="7" style="1" bestFit="1" customWidth="1"/>
    <col min="11" max="11" width="12.28515625" style="1" bestFit="1" customWidth="1"/>
    <col min="12" max="12" width="9.140625" style="1" bestFit="1" customWidth="1"/>
    <col min="13" max="13" width="11.42578125" style="1" bestFit="1" customWidth="1"/>
    <col min="14" max="16384" width="12.7109375" style="1"/>
  </cols>
  <sheetData>
    <row r="1" spans="1:16" ht="20.10000000000000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66</v>
      </c>
      <c r="H1" s="3" t="s">
        <v>6</v>
      </c>
      <c r="I1" s="3" t="s">
        <v>7</v>
      </c>
      <c r="J1" s="3" t="s">
        <v>8</v>
      </c>
      <c r="K1" s="3" t="s">
        <v>53</v>
      </c>
    </row>
    <row r="2" spans="1:16" ht="20.100000000000001" customHeight="1" x14ac:dyDescent="0.25">
      <c r="A2" s="3" t="s">
        <v>24</v>
      </c>
      <c r="B2" s="3" t="s">
        <v>25</v>
      </c>
      <c r="C2" s="29">
        <f>VLOOKUP(Portfoy[[#This Row],[Hisse]],'soruce tradingview'!A:C,3,0)</f>
        <v>68.489999999999995</v>
      </c>
      <c r="D2" s="28">
        <v>132</v>
      </c>
      <c r="E2" s="29">
        <v>62.91</v>
      </c>
      <c r="F2" s="30">
        <f>IF(Portfoy[[#This Row],[Birim]]="TRY",Portfoy[[#This Row],[Fiyat]]*Portfoy[[#This Row],[Adet]],Portfoy[[#This Row],[Fiyat]]*Portfoy[[#This Row],[Adet]]*'soruce altın&amp;dolar'!$B$7)</f>
        <v>9040.6799999999985</v>
      </c>
      <c r="G2" s="27" t="s">
        <v>67</v>
      </c>
      <c r="H2" s="33">
        <f>(Portfoy[[#This Row],[Fiyat]]-Portfoy[[#This Row],[Ort. Maliyet]])*Portfoy[[#This Row],[Adet]]</f>
        <v>736.55999999999972</v>
      </c>
      <c r="I2" s="3"/>
      <c r="J2" s="4">
        <f>Portfoy[[#This Row],[Dolar]]/Portfoy[[#Totals],[Dolar]]</f>
        <v>6.865410107705737E-2</v>
      </c>
      <c r="K2" s="18">
        <f>IF(Portfoy[[#This Row],[Birim]]="TRY",Portfoy[[#This Row],[Değer]]/'soruce altın&amp;dolar'!$C$7,Portfoy[[#This Row],[Değer]]/'soruce altın&amp;dolar'!$C$7)</f>
        <v>216.05729867435872</v>
      </c>
    </row>
    <row r="3" spans="1:16" ht="20.100000000000001" customHeight="1" x14ac:dyDescent="0.25">
      <c r="A3" s="3" t="s">
        <v>24</v>
      </c>
      <c r="B3" s="3" t="s">
        <v>26</v>
      </c>
      <c r="C3" s="29" cm="1">
        <f t="array" ref="C3">Garanti_altın_doviz[Satış]</f>
        <v>5493.55</v>
      </c>
      <c r="D3" s="28">
        <v>1.56</v>
      </c>
      <c r="E3" s="29">
        <v>4069.649564102564</v>
      </c>
      <c r="F3" s="30">
        <f>IF(Portfoy[[#This Row],[Birim]]="TRY",Portfoy[[#This Row],[Fiyat]]*Portfoy[[#This Row],[Adet]],Portfoy[[#This Row],[Fiyat]]*Portfoy[[#This Row],[Adet]]*'soruce altın&amp;dolar'!$B$7)</f>
        <v>8569.9380000000001</v>
      </c>
      <c r="G3" s="27" t="s">
        <v>67</v>
      </c>
      <c r="H3" s="33">
        <f>(Portfoy[[#This Row],[Fiyat]]-Portfoy[[#This Row],[Ort. Maliyet]])*Portfoy[[#This Row],[Adet]]</f>
        <v>2221.2846800000007</v>
      </c>
      <c r="I3" s="3"/>
      <c r="J3" s="4">
        <f>Portfoy[[#This Row],[Dolar]]/Portfoy[[#Totals],[Dolar]]</f>
        <v>6.5079329173924422E-2</v>
      </c>
      <c r="K3" s="18">
        <f>IF(Portfoy[[#This Row],[Birim]]="TRY",Portfoy[[#This Row],[Değer]]/'soruce altın&amp;dolar'!$C$7,Portfoy[[#This Row],[Değer]]/'soruce altın&amp;dolar'!$C$7)</f>
        <v>204.80734348375751</v>
      </c>
      <c r="N3" s="2"/>
    </row>
    <row r="4" spans="1:16" ht="20.100000000000001" customHeight="1" x14ac:dyDescent="0.25">
      <c r="A4" s="3" t="s">
        <v>35</v>
      </c>
      <c r="B4" s="3" t="s">
        <v>27</v>
      </c>
      <c r="C4" s="29">
        <f>VLOOKUP(Portfoy[[#This Row],[Hisse]],'soruce tefas'!A:B,2,0)</f>
        <v>4.8880850000000002</v>
      </c>
      <c r="D4" s="28">
        <v>854</v>
      </c>
      <c r="E4" s="29">
        <f>(Portfoy[[#This Row],[Değer]]-124.79)/Portfoy[[#This Row],[Adet]]</f>
        <v>4.7419608782201408</v>
      </c>
      <c r="F4" s="30">
        <f>IF(Portfoy[[#This Row],[Birim]]="TRY",Portfoy[[#This Row],[Fiyat]]*Portfoy[[#This Row],[Adet]],Portfoy[[#This Row],[Fiyat]]*Portfoy[[#This Row],[Adet]]*'soruce altın&amp;dolar'!$B$7)</f>
        <v>4174.4245900000005</v>
      </c>
      <c r="G4" s="27" t="s">
        <v>67</v>
      </c>
      <c r="H4" s="33">
        <f>(Portfoy[[#This Row],[Fiyat]]-Portfoy[[#This Row],[Ort. Maliyet]])*Portfoy[[#This Row],[Adet]]</f>
        <v>124.78999999999996</v>
      </c>
      <c r="I4" s="3"/>
      <c r="J4" s="4">
        <f>Portfoy[[#This Row],[Dolar]]/Portfoy[[#Totals],[Dolar]]</f>
        <v>3.1700200398688358E-2</v>
      </c>
      <c r="K4" s="18">
        <f>IF(Portfoy[[#This Row],[Birim]]="TRY",Portfoy[[#This Row],[Değer]]/'soruce altın&amp;dolar'!$C$7,Portfoy[[#This Row],[Değer]]/'soruce altın&amp;dolar'!$C$7)</f>
        <v>99.761843183833264</v>
      </c>
    </row>
    <row r="5" spans="1:16" ht="20.100000000000001" customHeight="1" x14ac:dyDescent="0.25">
      <c r="A5" s="3" t="s">
        <v>34</v>
      </c>
      <c r="B5" s="3" t="s">
        <v>28</v>
      </c>
      <c r="C5" s="29">
        <f>VLOOKUP(Portfoy[[#This Row],[Hisse]],'soruce tefas'!A:B,2,0)</f>
        <v>4.9779749999999998</v>
      </c>
      <c r="D5" s="28">
        <v>42</v>
      </c>
      <c r="E5" s="29">
        <f>(Portfoy[[#This Row],[Değer]]-6.58)/Portfoy[[#This Row],[Adet]]</f>
        <v>4.8213083333333326</v>
      </c>
      <c r="F5" s="30">
        <f>IF(Portfoy[[#This Row],[Birim]]="TRY",Portfoy[[#This Row],[Fiyat]]*Portfoy[[#This Row],[Adet]],Portfoy[[#This Row],[Fiyat]]*Portfoy[[#This Row],[Adet]]*'soruce altın&amp;dolar'!$B$7)</f>
        <v>209.07495</v>
      </c>
      <c r="G5" s="27" t="s">
        <v>67</v>
      </c>
      <c r="H5" s="33">
        <f>(Portfoy[[#This Row],[Fiyat]]-Portfoy[[#This Row],[Ort. Maliyet]])*Portfoy[[#This Row],[Adet]]</f>
        <v>6.5800000000000214</v>
      </c>
      <c r="I5" s="3"/>
      <c r="J5" s="4">
        <f>Portfoy[[#This Row],[Dolar]]/Portfoy[[#Totals],[Dolar]]</f>
        <v>1.587696141217333E-3</v>
      </c>
      <c r="K5" s="18">
        <f>IF(Portfoy[[#This Row],[Birim]]="TRY",Portfoy[[#This Row],[Değer]]/'soruce altın&amp;dolar'!$C$7,Portfoy[[#This Row],[Değer]]/'soruce altın&amp;dolar'!$C$7)</f>
        <v>4.9965454940863543</v>
      </c>
    </row>
    <row r="6" spans="1:16" ht="20.100000000000001" customHeight="1" x14ac:dyDescent="0.25">
      <c r="A6" s="3" t="s">
        <v>34</v>
      </c>
      <c r="B6" s="3" t="s">
        <v>15</v>
      </c>
      <c r="C6" s="29">
        <f>VLOOKUP(Portfoy[[#This Row],[Hisse]],'soruce tefas'!A:B,2,0)</f>
        <v>9.7409999999999997E-2</v>
      </c>
      <c r="D6" s="28">
        <v>872481</v>
      </c>
      <c r="E6" s="29">
        <f>(Portfoy[[#This Row],[Değer]]-570.2)/Portfoy[[#This Row],[Adet]]</f>
        <v>9.6756461412913289E-2</v>
      </c>
      <c r="F6" s="30">
        <f>IF(Portfoy[[#This Row],[Birim]]="TRY",Portfoy[[#This Row],[Fiyat]]*Portfoy[[#This Row],[Adet]],Portfoy[[#This Row],[Fiyat]]*Portfoy[[#This Row],[Adet]]*'soruce altın&amp;dolar'!$B$7)</f>
        <v>84988.374209999994</v>
      </c>
      <c r="G6" s="27" t="s">
        <v>67</v>
      </c>
      <c r="H6" s="33">
        <f>(Portfoy[[#This Row],[Fiyat]]-Portfoy[[#This Row],[Ort. Maliyet]])*Portfoy[[#This Row],[Adet]]</f>
        <v>570.19999999999789</v>
      </c>
      <c r="I6" s="3"/>
      <c r="J6" s="4">
        <f>Portfoy[[#This Row],[Dolar]]/Portfoy[[#Totals],[Dolar]]</f>
        <v>0.64539397848260494</v>
      </c>
      <c r="K6" s="18">
        <f>IF(Portfoy[[#This Row],[Birim]]="TRY",Portfoy[[#This Row],[Değer]]/'soruce altın&amp;dolar'!$C$7,Portfoy[[#This Row],[Değer]]/'soruce altın&amp;dolar'!$C$7)</f>
        <v>2031.0815724633699</v>
      </c>
    </row>
    <row r="7" spans="1:16" ht="20.100000000000001" customHeight="1" x14ac:dyDescent="0.25">
      <c r="A7" s="3" t="s">
        <v>69</v>
      </c>
      <c r="B7" s="3" t="s">
        <v>64</v>
      </c>
      <c r="C7" s="29">
        <f>VLOOKUP(Portfoy[[#This Row],[Hisse]],'soruce tradingview'!A:C,3,0)</f>
        <v>62.07</v>
      </c>
      <c r="D7" s="31">
        <v>1.552</v>
      </c>
      <c r="E7" s="32">
        <v>64.430000000000007</v>
      </c>
      <c r="F7" s="30">
        <f>IF(Portfoy[[#This Row],[Birim]]="TRY",Portfoy[[#This Row],[Fiyat]]*Portfoy[[#This Row],[Adet]],(Portfoy[[#This Row],[Fiyat]]*Portfoy[[#This Row],[Adet]])*'soruce altın&amp;dolar'!$B$7)</f>
        <v>4028.9681690400002</v>
      </c>
      <c r="G7" s="27" t="s">
        <v>68</v>
      </c>
      <c r="H7" s="33">
        <f>(Portfoy[[#This Row],[Fiyat]]-Portfoy[[#This Row],[Ort. Maliyet]])*Portfoy[[#This Row],[Adet]]</f>
        <v>-3.6627200000000104</v>
      </c>
      <c r="I7" s="3"/>
      <c r="J7" s="4">
        <f>Portfoy[[#This Row],[Dolar]]/Portfoy[[#Totals],[Dolar]]</f>
        <v>3.0595617576721995E-2</v>
      </c>
      <c r="K7" s="18">
        <f>IF(Portfoy[[#This Row],[Birim]]="TRY",Portfoy[[#This Row],[Değer]]/'soruce altın&amp;dolar'!$C$7,Portfoy[[#This Row],[Değer]]/'soruce altın&amp;dolar'!$C$7)</f>
        <v>96.285675308467916</v>
      </c>
    </row>
    <row r="8" spans="1:16" ht="20.100000000000001" customHeight="1" x14ac:dyDescent="0.25">
      <c r="A8" s="3" t="s">
        <v>69</v>
      </c>
      <c r="B8" s="3" t="s">
        <v>17</v>
      </c>
      <c r="C8" s="29">
        <f>VLOOKUP(Portfoy[[#This Row],[Hisse]],'soruce tradingview'!A:C,3,0)</f>
        <v>600.47</v>
      </c>
      <c r="D8" s="31">
        <v>0.16200000000000001</v>
      </c>
      <c r="E8" s="32">
        <v>617.28099999999995</v>
      </c>
      <c r="F8" s="30">
        <f>IF(Portfoy[[#This Row],[Birim]]="TRY",Portfoy[[#This Row],[Fiyat]]*Portfoy[[#This Row],[Adet]],Portfoy[[#This Row],[Fiyat]]*Portfoy[[#This Row],[Adet]]*'soruce altın&amp;dolar'!$B$7)</f>
        <v>4068.428641290001</v>
      </c>
      <c r="G8" s="27" t="s">
        <v>68</v>
      </c>
      <c r="H8" s="33">
        <f>(Portfoy[[#This Row],[Fiyat]]-Portfoy[[#This Row],[Ort. Maliyet]])*Portfoy[[#This Row],[Adet]]</f>
        <v>-2.7233819999999875</v>
      </c>
      <c r="I8" s="3"/>
      <c r="J8" s="4">
        <f>Portfoy[[#This Row],[Dolar]]/Portfoy[[#Totals],[Dolar]]</f>
        <v>3.0895276811469818E-2</v>
      </c>
      <c r="K8" s="18">
        <f>IF(Portfoy[[#This Row],[Birim]]="TRY",Portfoy[[#This Row],[Değer]]/'soruce altın&amp;dolar'!$C$7,Portfoy[[#This Row],[Değer]]/'soruce altın&amp;dolar'!$C$7)</f>
        <v>97.228715327443211</v>
      </c>
    </row>
    <row r="9" spans="1:16" ht="20.100000000000001" customHeight="1" x14ac:dyDescent="0.25">
      <c r="A9" s="3" t="s">
        <v>69</v>
      </c>
      <c r="B9" s="3" t="s">
        <v>65</v>
      </c>
      <c r="C9" s="29">
        <f>VLOOKUP(Portfoy[[#This Row],[Hisse]],'soruce tradingview'!A:C,3,0)</f>
        <v>589.59</v>
      </c>
      <c r="D9" s="31">
        <v>0.1643</v>
      </c>
      <c r="E9" s="32">
        <v>608.39</v>
      </c>
      <c r="F9" s="30">
        <f>IF(Portfoy[[#This Row],[Birim]]="TRY",Portfoy[[#This Row],[Fiyat]]*Portfoy[[#This Row],[Adet]],Portfoy[[#This Row],[Fiyat]]*Portfoy[[#This Row],[Adet]]*'soruce altın&amp;dolar'!$B$7)</f>
        <v>4051.4272630695009</v>
      </c>
      <c r="G9" s="27" t="s">
        <v>68</v>
      </c>
      <c r="H9" s="33">
        <f>(Portfoy[[#This Row],[Fiyat]]-Portfoy[[#This Row],[Ort. Maliyet]])*Portfoy[[#This Row],[Adet]]</f>
        <v>-3.0888399999999927</v>
      </c>
      <c r="I9" s="3"/>
      <c r="J9" s="4">
        <f>Portfoy[[#This Row],[Dolar]]/Portfoy[[#Totals],[Dolar]]</f>
        <v>3.0766169892654033E-2</v>
      </c>
      <c r="K9" s="18">
        <f>IF(Portfoy[[#This Row],[Birim]]="TRY",Portfoy[[#This Row],[Değer]]/'soruce altın&amp;dolar'!$C$7,Portfoy[[#This Row],[Değer]]/'soruce altın&amp;dolar'!$C$7)</f>
        <v>96.822410508329796</v>
      </c>
      <c r="P9" s="22"/>
    </row>
    <row r="10" spans="1:16" ht="20.100000000000001" customHeight="1" x14ac:dyDescent="0.25">
      <c r="A10" s="3" t="s">
        <v>70</v>
      </c>
      <c r="B10" s="3" t="s">
        <v>70</v>
      </c>
      <c r="C10" s="27">
        <f>'soruce altın&amp;dolar'!$C$7</f>
        <v>41.843899999999998</v>
      </c>
      <c r="D10" s="29">
        <v>300</v>
      </c>
      <c r="E10" s="29">
        <v>41.591000000000001</v>
      </c>
      <c r="F10" s="30">
        <f>Portfoy[[#This Row],[Fiyat]]*Portfoy[[#This Row],[Adet]]</f>
        <v>12553.17</v>
      </c>
      <c r="G10" s="27" t="s">
        <v>68</v>
      </c>
      <c r="H10" s="33">
        <f>(Portfoy[[#This Row],[Fiyat]]-Portfoy[[#This Row],[Ort. Maliyet]])*Portfoy[[#This Row],[Adet]]</f>
        <v>75.869999999999038</v>
      </c>
      <c r="I10" s="3"/>
      <c r="J10" s="4">
        <f>Portfoy[[#This Row],[Dolar]]/Portfoy[[#Totals],[Dolar]]</f>
        <v>9.5327630445661643E-2</v>
      </c>
      <c r="K10" s="18">
        <f>IF(Portfoy[[#This Row],[Birim]]="TRY",Portfoy[[#This Row],[Değer]]/'soruce altın&amp;dolar'!$C$7,Portfoy[[#This Row],[Değer]]/'soruce altın&amp;dolar'!$C$7)</f>
        <v>300</v>
      </c>
    </row>
    <row r="11" spans="1:16" ht="20.100000000000001" customHeight="1" x14ac:dyDescent="0.25">
      <c r="A11" s="3"/>
      <c r="B11" s="3"/>
      <c r="C11" s="3"/>
      <c r="D11" s="3"/>
      <c r="E11" s="3"/>
      <c r="F11" s="21">
        <f>SUBTOTAL(109,Portfoy[Değer])</f>
        <v>131684.4858233995</v>
      </c>
      <c r="G11" s="3"/>
      <c r="H11" s="3"/>
      <c r="I11" s="3"/>
      <c r="J11" s="3"/>
      <c r="K11" s="18">
        <f>SUBTOTAL(109,Portfoy[Dolar])</f>
        <v>3147.041404443647</v>
      </c>
    </row>
    <row r="16" spans="1:16" ht="20.100000000000001" customHeight="1" x14ac:dyDescent="0.25">
      <c r="K16" s="22"/>
    </row>
    <row r="28" spans="18:19" ht="20.100000000000001" customHeight="1" x14ac:dyDescent="0.25">
      <c r="R28" s="5" t="s">
        <v>31</v>
      </c>
      <c r="S28" t="s">
        <v>33</v>
      </c>
    </row>
    <row r="29" spans="18:19" ht="20.100000000000001" customHeight="1" x14ac:dyDescent="0.25">
      <c r="R29" s="6" t="s">
        <v>24</v>
      </c>
      <c r="S29" s="7">
        <v>0.13607598613374883</v>
      </c>
    </row>
    <row r="30" spans="18:19" ht="20.100000000000001" customHeight="1" x14ac:dyDescent="0.25">
      <c r="R30" s="6" t="s">
        <v>35</v>
      </c>
      <c r="S30" s="7">
        <v>3.1498654402176925E-2</v>
      </c>
    </row>
    <row r="31" spans="18:19" ht="20.100000000000001" customHeight="1" x14ac:dyDescent="0.25">
      <c r="R31" s="6" t="s">
        <v>34</v>
      </c>
      <c r="S31" s="7">
        <v>0.64263966616679502</v>
      </c>
    </row>
    <row r="32" spans="18:19" ht="20.100000000000001" customHeight="1" x14ac:dyDescent="0.25">
      <c r="R32" s="6" t="s">
        <v>69</v>
      </c>
      <c r="S32" s="7">
        <v>9.5006430460308905E-2</v>
      </c>
    </row>
    <row r="33" spans="18:19" ht="20.100000000000001" customHeight="1" x14ac:dyDescent="0.25">
      <c r="R33" s="6" t="s">
        <v>70</v>
      </c>
      <c r="S33" s="7">
        <v>9.4779262836970343E-2</v>
      </c>
    </row>
    <row r="34" spans="18:19" ht="20.100000000000001" customHeight="1" x14ac:dyDescent="0.25">
      <c r="R34" s="6" t="s">
        <v>32</v>
      </c>
      <c r="S34" s="7">
        <v>1</v>
      </c>
    </row>
  </sheetData>
  <pageMargins left="0.7" right="0.7" top="0.75" bottom="0.75" header="0.3" footer="0.3"/>
  <pageSetup paperSize="9" orientation="portrait" r:id="rId2"/>
  <ignoredErrors>
    <ignoredError sqref="C2:C7 F2:F10 C8:C10" calculatedColumn="1"/>
  </ignoredErrors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AA26-86B1-4FE5-92A2-8D878D43B9DC}">
  <sheetPr codeName="Sheet2"/>
  <dimension ref="A1:S11"/>
  <sheetViews>
    <sheetView topLeftCell="A4" workbookViewId="0">
      <selection activeCell="O6" sqref="O5:O6"/>
      <pivotSelection pane="bottomRight" showHeader="1" axis="axisRow" activeRow="5" activeCol="14" previousRow="5" previousCol="14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" x14ac:dyDescent="0.25"/>
  <cols>
    <col min="1" max="1" width="10.140625" bestFit="1" customWidth="1"/>
    <col min="15" max="15" width="13.42578125" bestFit="1" customWidth="1"/>
    <col min="16" max="16" width="16.85546875" bestFit="1" customWidth="1"/>
    <col min="17" max="17" width="15" bestFit="1" customWidth="1"/>
    <col min="18" max="19" width="12" bestFit="1" customWidth="1"/>
    <col min="20" max="20" width="13.28515625" bestFit="1" customWidth="1"/>
    <col min="21" max="21" width="12.5703125" bestFit="1" customWidth="1"/>
    <col min="22" max="22" width="18.28515625" bestFit="1" customWidth="1"/>
    <col min="23" max="23" width="17.7109375" bestFit="1" customWidth="1"/>
    <col min="24" max="27" width="12" bestFit="1" customWidth="1"/>
  </cols>
  <sheetData>
    <row r="1" spans="1:19" x14ac:dyDescent="0.25">
      <c r="A1" t="s">
        <v>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53</v>
      </c>
    </row>
    <row r="2" spans="1:19" x14ac:dyDescent="0.25">
      <c r="A2" s="19">
        <v>40686</v>
      </c>
      <c r="B2" t="s">
        <v>24</v>
      </c>
      <c r="C2" t="s">
        <v>25</v>
      </c>
      <c r="D2">
        <v>58.44</v>
      </c>
      <c r="E2">
        <v>20</v>
      </c>
      <c r="G2">
        <v>1168.8</v>
      </c>
      <c r="J2">
        <v>1.7978315788413472E-2</v>
      </c>
      <c r="K2">
        <v>28.220227876891428</v>
      </c>
    </row>
    <row r="3" spans="1:19" x14ac:dyDescent="0.25">
      <c r="A3" s="19">
        <v>40686</v>
      </c>
      <c r="B3" t="s">
        <v>24</v>
      </c>
      <c r="C3" t="s">
        <v>26</v>
      </c>
      <c r="D3">
        <v>4990.96</v>
      </c>
      <c r="E3">
        <v>1.56</v>
      </c>
      <c r="G3">
        <v>7785.8976000000002</v>
      </c>
      <c r="J3">
        <v>0.11976157233833895</v>
      </c>
      <c r="K3">
        <v>187.98751240429678</v>
      </c>
      <c r="O3" s="5" t="s">
        <v>63</v>
      </c>
      <c r="P3" s="5" t="s">
        <v>62</v>
      </c>
    </row>
    <row r="4" spans="1:19" x14ac:dyDescent="0.25">
      <c r="A4" s="19">
        <v>40686</v>
      </c>
      <c r="B4" t="s">
        <v>35</v>
      </c>
      <c r="C4" t="s">
        <v>27</v>
      </c>
      <c r="D4">
        <v>4.7367559999999997</v>
      </c>
      <c r="E4">
        <v>854</v>
      </c>
      <c r="G4">
        <v>4045.1896239999996</v>
      </c>
      <c r="J4">
        <v>6.2222532926322335E-2</v>
      </c>
      <c r="K4">
        <v>97.669552527820628</v>
      </c>
      <c r="O4" s="5" t="s">
        <v>31</v>
      </c>
      <c r="P4" t="s">
        <v>35</v>
      </c>
      <c r="Q4" t="s">
        <v>24</v>
      </c>
      <c r="R4" t="s">
        <v>34</v>
      </c>
      <c r="S4" t="s">
        <v>32</v>
      </c>
    </row>
    <row r="5" spans="1:19" x14ac:dyDescent="0.25">
      <c r="A5" s="19">
        <v>40686</v>
      </c>
      <c r="B5" t="s">
        <v>34</v>
      </c>
      <c r="C5" t="s">
        <v>28</v>
      </c>
      <c r="D5">
        <v>4.8690090000000001</v>
      </c>
      <c r="E5">
        <v>5272</v>
      </c>
      <c r="G5">
        <v>25669.415448</v>
      </c>
      <c r="J5">
        <v>0.39484330683446534</v>
      </c>
      <c r="K5">
        <v>619.77819422412483</v>
      </c>
      <c r="O5" s="25">
        <v>40686</v>
      </c>
      <c r="P5">
        <v>97.669552527820628</v>
      </c>
      <c r="Q5">
        <v>216.20774028118819</v>
      </c>
      <c r="R5">
        <v>1255.8041061059321</v>
      </c>
      <c r="S5">
        <v>1569.6813989149409</v>
      </c>
    </row>
    <row r="6" spans="1:19" x14ac:dyDescent="0.25">
      <c r="A6" s="19">
        <v>40686</v>
      </c>
      <c r="B6" t="s">
        <v>34</v>
      </c>
      <c r="C6" t="s">
        <v>15</v>
      </c>
      <c r="D6">
        <v>9.5207E-2</v>
      </c>
      <c r="E6">
        <v>276685</v>
      </c>
      <c r="G6">
        <v>26342.348795000002</v>
      </c>
      <c r="J6">
        <v>0.4051942721124599</v>
      </c>
      <c r="K6">
        <v>636.02591188180736</v>
      </c>
      <c r="O6" s="25">
        <v>45931</v>
      </c>
      <c r="P6">
        <v>99.13999817267279</v>
      </c>
      <c r="Q6">
        <v>405.6505669523068</v>
      </c>
      <c r="R6">
        <v>2561.7269214826356</v>
      </c>
      <c r="S6">
        <v>3066.517486607615</v>
      </c>
    </row>
    <row r="7" spans="1:19" x14ac:dyDescent="0.25">
      <c r="A7" s="19">
        <v>45931</v>
      </c>
      <c r="B7" t="s">
        <v>24</v>
      </c>
      <c r="C7" t="s">
        <v>25</v>
      </c>
      <c r="D7">
        <v>65.400000000000006</v>
      </c>
      <c r="E7">
        <v>132</v>
      </c>
      <c r="F7">
        <v>62.91</v>
      </c>
      <c r="G7">
        <v>8632.8000000000011</v>
      </c>
      <c r="H7">
        <v>328.6800000000012</v>
      </c>
      <c r="J7">
        <v>6.7687575728353877E-2</v>
      </c>
      <c r="K7">
        <v>207.56513459707438</v>
      </c>
      <c r="O7" s="25" t="s">
        <v>32</v>
      </c>
      <c r="P7">
        <v>196.80955070049342</v>
      </c>
      <c r="Q7">
        <v>621.858307233495</v>
      </c>
      <c r="R7">
        <v>3817.5310275885677</v>
      </c>
      <c r="S7">
        <v>4636.1988855225554</v>
      </c>
    </row>
    <row r="8" spans="1:19" x14ac:dyDescent="0.25">
      <c r="A8" s="19">
        <v>45931</v>
      </c>
      <c r="B8" t="s">
        <v>24</v>
      </c>
      <c r="C8" t="s">
        <v>26</v>
      </c>
      <c r="D8">
        <v>5281.11</v>
      </c>
      <c r="E8">
        <v>1.56</v>
      </c>
      <c r="F8">
        <v>4069.649564102564</v>
      </c>
      <c r="G8">
        <v>8238.5316000000003</v>
      </c>
      <c r="H8">
        <v>1889.8782799999997</v>
      </c>
      <c r="J8">
        <v>6.45962180944116E-2</v>
      </c>
      <c r="K8">
        <v>198.0854323552324</v>
      </c>
    </row>
    <row r="9" spans="1:19" x14ac:dyDescent="0.25">
      <c r="A9" s="19">
        <v>45931</v>
      </c>
      <c r="B9" t="s">
        <v>35</v>
      </c>
      <c r="C9" t="s">
        <v>27</v>
      </c>
      <c r="D9">
        <v>4.8282340000000001</v>
      </c>
      <c r="E9">
        <v>854</v>
      </c>
      <c r="F9">
        <v>4.6821098782201407</v>
      </c>
      <c r="G9">
        <v>4123.3118359999999</v>
      </c>
      <c r="H9">
        <v>124.78999999999996</v>
      </c>
      <c r="J9">
        <v>3.2329832980130181E-2</v>
      </c>
      <c r="K9">
        <v>99.13999817267279</v>
      </c>
    </row>
    <row r="10" spans="1:19" x14ac:dyDescent="0.25">
      <c r="A10" s="19">
        <v>45931</v>
      </c>
      <c r="B10" t="s">
        <v>34</v>
      </c>
      <c r="C10" t="s">
        <v>28</v>
      </c>
      <c r="D10">
        <v>4.9309830000000003</v>
      </c>
      <c r="E10">
        <v>42</v>
      </c>
      <c r="F10">
        <v>4.7743163333333332</v>
      </c>
      <c r="G10">
        <v>207.10128600000002</v>
      </c>
      <c r="H10">
        <v>6.5800000000000214</v>
      </c>
      <c r="J10">
        <v>1.6238281877912699E-3</v>
      </c>
      <c r="K10">
        <v>4.979497533108284</v>
      </c>
    </row>
    <row r="11" spans="1:19" x14ac:dyDescent="0.25">
      <c r="A11" s="19">
        <v>45931</v>
      </c>
      <c r="B11" t="s">
        <v>34</v>
      </c>
      <c r="C11" t="s">
        <v>15</v>
      </c>
      <c r="D11">
        <v>9.6445000000000003E-2</v>
      </c>
      <c r="E11">
        <v>1102568</v>
      </c>
      <c r="F11">
        <v>9.5927843688552547E-2</v>
      </c>
      <c r="G11">
        <v>106337.17076000001</v>
      </c>
      <c r="H11">
        <v>570.19999999999857</v>
      </c>
      <c r="J11">
        <v>0.83376254500931302</v>
      </c>
      <c r="K11">
        <v>2556.7474239495273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F3A1-FB9B-45BE-8205-2B316A8C1D1C}">
  <sheetPr codeName="Sheet3"/>
  <dimension ref="A1:M11"/>
  <sheetViews>
    <sheetView workbookViewId="0">
      <selection activeCell="K3" sqref="K3"/>
    </sheetView>
  </sheetViews>
  <sheetFormatPr defaultRowHeight="15" x14ac:dyDescent="0.25"/>
  <cols>
    <col min="1" max="1" width="10.140625" style="19" bestFit="1" customWidth="1"/>
    <col min="2" max="2" width="12" bestFit="1" customWidth="1"/>
    <col min="7" max="7" width="17" customWidth="1"/>
    <col min="9" max="9" width="10.85546875" customWidth="1"/>
    <col min="11" max="11" width="9.42578125" bestFit="1" customWidth="1"/>
    <col min="12" max="12" width="10.5703125" bestFit="1" customWidth="1"/>
    <col min="13" max="13" width="9.5703125" bestFit="1" customWidth="1"/>
  </cols>
  <sheetData>
    <row r="1" spans="1:13" x14ac:dyDescent="0.25">
      <c r="A1" s="19" t="s">
        <v>54</v>
      </c>
      <c r="B1" t="s">
        <v>57</v>
      </c>
      <c r="C1" t="s">
        <v>3</v>
      </c>
      <c r="D1" t="s">
        <v>58</v>
      </c>
      <c r="E1" t="s">
        <v>2</v>
      </c>
      <c r="F1" t="s">
        <v>66</v>
      </c>
      <c r="G1" t="s">
        <v>59</v>
      </c>
      <c r="H1" t="s">
        <v>53</v>
      </c>
      <c r="I1" t="s">
        <v>60</v>
      </c>
    </row>
    <row r="2" spans="1:13" x14ac:dyDescent="0.25">
      <c r="A2" s="19">
        <v>45901</v>
      </c>
      <c r="B2" t="s">
        <v>26</v>
      </c>
      <c r="C2" s="26">
        <v>1</v>
      </c>
      <c r="D2" t="s">
        <v>12</v>
      </c>
      <c r="E2">
        <f>4624.751</f>
        <v>4624.7510000000002</v>
      </c>
      <c r="F2" t="s">
        <v>67</v>
      </c>
      <c r="G2" s="20">
        <f>C2*E2</f>
        <v>4624.7510000000002</v>
      </c>
      <c r="K2" s="24"/>
    </row>
    <row r="3" spans="1:13" x14ac:dyDescent="0.25">
      <c r="A3" s="19">
        <v>45643</v>
      </c>
      <c r="B3" t="s">
        <v>26</v>
      </c>
      <c r="C3" s="26">
        <v>0.56000000000000005</v>
      </c>
      <c r="D3" t="s">
        <v>13</v>
      </c>
      <c r="E3">
        <v>3078.3969999999999</v>
      </c>
      <c r="F3" t="s">
        <v>67</v>
      </c>
      <c r="G3" s="20">
        <f>C3*E3</f>
        <v>1723.9023200000001</v>
      </c>
      <c r="K3">
        <f>SUMPRODUCT(C2:C3,E2:E3)/(C2+C3)</f>
        <v>4069.649564102564</v>
      </c>
    </row>
    <row r="4" spans="1:13" x14ac:dyDescent="0.25">
      <c r="A4" s="19">
        <v>45936</v>
      </c>
      <c r="B4" t="s">
        <v>64</v>
      </c>
      <c r="C4" s="26">
        <v>1.552</v>
      </c>
      <c r="D4" t="s">
        <v>12</v>
      </c>
      <c r="E4">
        <v>64.430000000000007</v>
      </c>
      <c r="F4" t="s">
        <v>68</v>
      </c>
      <c r="G4" s="20">
        <f>C4*E4</f>
        <v>99.995360000000019</v>
      </c>
    </row>
    <row r="5" spans="1:13" x14ac:dyDescent="0.25">
      <c r="A5" s="19">
        <v>45936</v>
      </c>
      <c r="B5" t="s">
        <v>17</v>
      </c>
      <c r="C5" s="26">
        <v>0.16200000000000001</v>
      </c>
      <c r="D5" t="s">
        <v>12</v>
      </c>
      <c r="E5">
        <v>617.28099999999995</v>
      </c>
      <c r="F5" t="s">
        <v>68</v>
      </c>
      <c r="G5" s="20">
        <f>C5*E5</f>
        <v>99.999521999999999</v>
      </c>
    </row>
    <row r="6" spans="1:13" x14ac:dyDescent="0.25">
      <c r="A6" s="19">
        <v>45936</v>
      </c>
      <c r="B6" t="s">
        <v>65</v>
      </c>
      <c r="C6" s="26">
        <v>0.1643</v>
      </c>
      <c r="D6" t="s">
        <v>12</v>
      </c>
      <c r="E6">
        <v>608.39</v>
      </c>
      <c r="F6" t="s">
        <v>68</v>
      </c>
      <c r="G6" s="20">
        <f>C6*E6</f>
        <v>99.958477000000002</v>
      </c>
    </row>
    <row r="7" spans="1:13" x14ac:dyDescent="0.25">
      <c r="A7" t="s">
        <v>61</v>
      </c>
      <c r="G7" s="23" t="e">
        <f>SUM(garantialtın_cost[Toplam])/garantialtın_cost[[#Totals],[Adet]]</f>
        <v>#DIV/0!</v>
      </c>
      <c r="I7">
        <f>SUBTOTAL(103,garantialtın_cost[Toplam2])</f>
        <v>0</v>
      </c>
      <c r="L7" s="24"/>
      <c r="M7" s="24"/>
    </row>
    <row r="8" spans="1:13" x14ac:dyDescent="0.25">
      <c r="L8" s="24"/>
      <c r="M8" s="23"/>
    </row>
    <row r="11" spans="1:13" x14ac:dyDescent="0.25">
      <c r="L11" s="2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6586-0665-4CA6-9490-EF2E461CC119}">
  <sheetPr codeName="Sheet4"/>
  <dimension ref="B5:O49"/>
  <sheetViews>
    <sheetView workbookViewId="0">
      <selection activeCell="D38" sqref="D38"/>
    </sheetView>
  </sheetViews>
  <sheetFormatPr defaultColWidth="9.140625" defaultRowHeight="15" x14ac:dyDescent="0.25"/>
  <cols>
    <col min="1" max="1" width="9.140625" style="8"/>
    <col min="2" max="2" width="10.5703125" style="8" bestFit="1" customWidth="1"/>
    <col min="3" max="3" width="13.7109375" style="8" bestFit="1" customWidth="1"/>
    <col min="4" max="4" width="10.5703125" style="8" bestFit="1" customWidth="1"/>
    <col min="5" max="13" width="9.140625" style="8"/>
    <col min="14" max="14" width="13.7109375" style="8" bestFit="1" customWidth="1"/>
    <col min="15" max="15" width="10.5703125" style="8" bestFit="1" customWidth="1"/>
    <col min="16" max="16384" width="9.140625" style="8"/>
  </cols>
  <sheetData>
    <row r="5" spans="2:15" x14ac:dyDescent="0.25">
      <c r="B5" s="34" t="s">
        <v>36</v>
      </c>
      <c r="C5" s="34"/>
      <c r="D5" s="34"/>
      <c r="E5" s="34"/>
    </row>
    <row r="6" spans="2:15" x14ac:dyDescent="0.25">
      <c r="B6" s="34"/>
      <c r="C6" s="34"/>
      <c r="D6" s="34"/>
      <c r="E6" s="34"/>
      <c r="O6" s="8" t="s">
        <v>15</v>
      </c>
    </row>
    <row r="7" spans="2:15" x14ac:dyDescent="0.25">
      <c r="B7" s="34"/>
      <c r="C7" s="34"/>
      <c r="D7" s="34"/>
      <c r="E7" s="34"/>
      <c r="N7" s="8" t="s">
        <v>44</v>
      </c>
      <c r="O7" s="15">
        <v>3.5200000000000002E-2</v>
      </c>
    </row>
    <row r="8" spans="2:15" x14ac:dyDescent="0.25">
      <c r="B8" s="8" t="s">
        <v>5</v>
      </c>
      <c r="D8" s="12">
        <v>100000</v>
      </c>
      <c r="E8" s="13">
        <v>2500</v>
      </c>
      <c r="N8" s="8" t="s">
        <v>45</v>
      </c>
      <c r="O8" s="15">
        <v>0.17499999999999999</v>
      </c>
    </row>
    <row r="9" spans="2:15" x14ac:dyDescent="0.25">
      <c r="B9" s="8" t="s">
        <v>34</v>
      </c>
      <c r="C9" s="9">
        <v>0.8</v>
      </c>
      <c r="D9" s="10">
        <f>C9*$D$8</f>
        <v>80000</v>
      </c>
      <c r="E9" s="14">
        <f>$E$8*C9</f>
        <v>2000</v>
      </c>
    </row>
    <row r="10" spans="2:15" x14ac:dyDescent="0.25">
      <c r="B10" s="8" t="s">
        <v>37</v>
      </c>
      <c r="C10" s="9">
        <v>0</v>
      </c>
      <c r="D10" s="10">
        <f t="shared" ref="D10:D13" si="0">C10*$D$8</f>
        <v>0</v>
      </c>
      <c r="E10" s="14">
        <f t="shared" ref="E10:E13" si="1">$E$8*C10</f>
        <v>0</v>
      </c>
      <c r="N10" s="8" t="s">
        <v>46</v>
      </c>
      <c r="O10" s="10">
        <v>50000</v>
      </c>
    </row>
    <row r="11" spans="2:15" x14ac:dyDescent="0.25">
      <c r="B11" s="8" t="s">
        <v>38</v>
      </c>
      <c r="C11" s="9">
        <v>0</v>
      </c>
      <c r="D11" s="10">
        <f t="shared" si="0"/>
        <v>0</v>
      </c>
      <c r="E11" s="14">
        <f t="shared" si="1"/>
        <v>0</v>
      </c>
      <c r="N11" s="8" t="s">
        <v>47</v>
      </c>
      <c r="O11" s="10">
        <f>O10*O7</f>
        <v>1760</v>
      </c>
    </row>
    <row r="12" spans="2:15" x14ac:dyDescent="0.25">
      <c r="B12" s="8" t="s">
        <v>39</v>
      </c>
      <c r="C12" s="9">
        <v>0.2</v>
      </c>
      <c r="D12" s="10">
        <f t="shared" si="0"/>
        <v>20000</v>
      </c>
      <c r="E12" s="14">
        <f t="shared" si="1"/>
        <v>500</v>
      </c>
      <c r="N12" s="8" t="s">
        <v>48</v>
      </c>
      <c r="O12" s="16">
        <f>O11*(1-O8)</f>
        <v>1452</v>
      </c>
    </row>
    <row r="13" spans="2:15" x14ac:dyDescent="0.25">
      <c r="B13" s="8" t="s">
        <v>43</v>
      </c>
      <c r="C13" s="9">
        <v>0</v>
      </c>
      <c r="D13" s="10">
        <f t="shared" si="0"/>
        <v>0</v>
      </c>
      <c r="E13" s="14">
        <f t="shared" si="1"/>
        <v>0</v>
      </c>
    </row>
    <row r="14" spans="2:15" x14ac:dyDescent="0.25">
      <c r="C14" s="9"/>
      <c r="N14" s="8" t="s">
        <v>49</v>
      </c>
      <c r="O14" s="17">
        <f>O12/O10</f>
        <v>2.904E-2</v>
      </c>
    </row>
    <row r="17" spans="2:5" x14ac:dyDescent="0.25">
      <c r="B17" s="34" t="s">
        <v>40</v>
      </c>
      <c r="C17" s="34"/>
      <c r="D17" s="34"/>
      <c r="E17" s="34"/>
    </row>
    <row r="18" spans="2:5" x14ac:dyDescent="0.25">
      <c r="B18" s="34"/>
      <c r="C18" s="34"/>
      <c r="D18" s="34"/>
      <c r="E18" s="34"/>
    </row>
    <row r="19" spans="2:5" x14ac:dyDescent="0.25">
      <c r="B19" s="34"/>
      <c r="C19" s="34"/>
      <c r="D19" s="34"/>
      <c r="E19" s="34"/>
    </row>
    <row r="20" spans="2:5" x14ac:dyDescent="0.25">
      <c r="B20" s="8" t="s">
        <v>5</v>
      </c>
      <c r="D20" s="12">
        <v>250000</v>
      </c>
      <c r="E20" s="13">
        <v>5000</v>
      </c>
    </row>
    <row r="21" spans="2:5" x14ac:dyDescent="0.25">
      <c r="B21" s="8" t="s">
        <v>34</v>
      </c>
      <c r="C21" s="9">
        <v>0.5</v>
      </c>
      <c r="D21" s="10">
        <f>C21*$D$20</f>
        <v>125000</v>
      </c>
      <c r="E21" s="10">
        <f>C21*$E$20</f>
        <v>2500</v>
      </c>
    </row>
    <row r="22" spans="2:5" x14ac:dyDescent="0.25">
      <c r="B22" s="8" t="s">
        <v>37</v>
      </c>
      <c r="C22" s="9">
        <v>0.1</v>
      </c>
      <c r="D22" s="10">
        <f t="shared" ref="D22:D25" si="2">C22*$D$20</f>
        <v>25000</v>
      </c>
      <c r="E22" s="10">
        <f t="shared" ref="E22:E25" si="3">C22*$E$20</f>
        <v>500</v>
      </c>
    </row>
    <row r="23" spans="2:5" x14ac:dyDescent="0.25">
      <c r="B23" s="8" t="s">
        <v>38</v>
      </c>
      <c r="C23" s="9">
        <v>0.1</v>
      </c>
      <c r="D23" s="10">
        <f t="shared" si="2"/>
        <v>25000</v>
      </c>
      <c r="E23" s="10">
        <f t="shared" si="3"/>
        <v>500</v>
      </c>
    </row>
    <row r="24" spans="2:5" x14ac:dyDescent="0.25">
      <c r="B24" s="8" t="s">
        <v>39</v>
      </c>
      <c r="C24" s="9">
        <v>0.3</v>
      </c>
      <c r="D24" s="10">
        <f t="shared" si="2"/>
        <v>75000</v>
      </c>
      <c r="E24" s="10">
        <f t="shared" si="3"/>
        <v>1500</v>
      </c>
    </row>
    <row r="25" spans="2:5" x14ac:dyDescent="0.25">
      <c r="B25" s="8" t="s">
        <v>43</v>
      </c>
      <c r="C25" s="9">
        <v>0</v>
      </c>
      <c r="D25" s="10">
        <f t="shared" si="2"/>
        <v>0</v>
      </c>
      <c r="E25" s="10">
        <f t="shared" si="3"/>
        <v>0</v>
      </c>
    </row>
    <row r="26" spans="2:5" x14ac:dyDescent="0.25">
      <c r="C26" s="9"/>
    </row>
    <row r="29" spans="2:5" x14ac:dyDescent="0.25">
      <c r="B29" s="34" t="s">
        <v>41</v>
      </c>
      <c r="C29" s="34"/>
      <c r="D29" s="34"/>
      <c r="E29" s="34"/>
    </row>
    <row r="30" spans="2:5" x14ac:dyDescent="0.25">
      <c r="B30" s="34"/>
      <c r="C30" s="34"/>
      <c r="D30" s="34"/>
      <c r="E30" s="34"/>
    </row>
    <row r="31" spans="2:5" x14ac:dyDescent="0.25">
      <c r="B31" s="34"/>
      <c r="C31" s="34"/>
      <c r="D31" s="34"/>
      <c r="E31" s="34"/>
    </row>
    <row r="32" spans="2:5" x14ac:dyDescent="0.25">
      <c r="B32" s="8" t="s">
        <v>5</v>
      </c>
      <c r="D32" s="12">
        <v>500000</v>
      </c>
      <c r="E32" s="13">
        <v>10000</v>
      </c>
    </row>
    <row r="33" spans="2:5" x14ac:dyDescent="0.25">
      <c r="B33" s="8" t="s">
        <v>34</v>
      </c>
      <c r="C33" s="9">
        <v>0.3</v>
      </c>
      <c r="D33" s="10">
        <f>C33*$D$32</f>
        <v>150000</v>
      </c>
      <c r="E33" s="10">
        <f>C33*$E$32</f>
        <v>3000</v>
      </c>
    </row>
    <row r="34" spans="2:5" x14ac:dyDescent="0.25">
      <c r="B34" s="8" t="s">
        <v>37</v>
      </c>
      <c r="C34" s="9">
        <v>0.1</v>
      </c>
      <c r="D34" s="10">
        <f>C34*$D$32</f>
        <v>50000</v>
      </c>
      <c r="E34" s="10">
        <f t="shared" ref="E34:E37" si="4">C34*$E$32</f>
        <v>1000</v>
      </c>
    </row>
    <row r="35" spans="2:5" x14ac:dyDescent="0.25">
      <c r="B35" s="8" t="s">
        <v>38</v>
      </c>
      <c r="C35" s="9">
        <v>0.2</v>
      </c>
      <c r="D35" s="10">
        <f>C35*$D$32</f>
        <v>100000</v>
      </c>
      <c r="E35" s="10">
        <f t="shared" si="4"/>
        <v>2000</v>
      </c>
    </row>
    <row r="36" spans="2:5" x14ac:dyDescent="0.25">
      <c r="B36" s="8" t="s">
        <v>39</v>
      </c>
      <c r="C36" s="9">
        <v>0.3</v>
      </c>
      <c r="D36" s="10">
        <f>C36*$D$32</f>
        <v>150000</v>
      </c>
      <c r="E36" s="10">
        <f t="shared" si="4"/>
        <v>3000</v>
      </c>
    </row>
    <row r="37" spans="2:5" x14ac:dyDescent="0.25">
      <c r="B37" s="8" t="s">
        <v>43</v>
      </c>
      <c r="C37" s="9">
        <v>0.1</v>
      </c>
      <c r="D37" s="10">
        <f>C37*$D$32</f>
        <v>50000</v>
      </c>
      <c r="E37" s="10">
        <f t="shared" si="4"/>
        <v>1000</v>
      </c>
    </row>
    <row r="38" spans="2:5" x14ac:dyDescent="0.25">
      <c r="C38" s="11"/>
    </row>
    <row r="41" spans="2:5" x14ac:dyDescent="0.25">
      <c r="B41" s="34" t="s">
        <v>42</v>
      </c>
      <c r="C41" s="34"/>
      <c r="D41" s="34"/>
      <c r="E41" s="34"/>
    </row>
    <row r="42" spans="2:5" x14ac:dyDescent="0.25">
      <c r="B42" s="34"/>
      <c r="C42" s="34"/>
      <c r="D42" s="34"/>
      <c r="E42" s="34"/>
    </row>
    <row r="43" spans="2:5" x14ac:dyDescent="0.25">
      <c r="B43" s="34"/>
      <c r="C43" s="34"/>
      <c r="D43" s="34"/>
      <c r="E43" s="34"/>
    </row>
    <row r="44" spans="2:5" x14ac:dyDescent="0.25">
      <c r="B44" s="8" t="s">
        <v>5</v>
      </c>
      <c r="D44" s="12">
        <v>1000000</v>
      </c>
      <c r="E44" s="13">
        <v>20000</v>
      </c>
    </row>
    <row r="45" spans="2:5" x14ac:dyDescent="0.25">
      <c r="B45" s="8" t="s">
        <v>34</v>
      </c>
      <c r="C45" s="9">
        <v>0.2</v>
      </c>
      <c r="D45" s="10">
        <f>C45*$D$44</f>
        <v>200000</v>
      </c>
      <c r="E45" s="14">
        <f>C45*$E$44</f>
        <v>4000</v>
      </c>
    </row>
    <row r="46" spans="2:5" x14ac:dyDescent="0.25">
      <c r="B46" s="8" t="s">
        <v>37</v>
      </c>
      <c r="C46" s="9">
        <v>0.1</v>
      </c>
      <c r="D46" s="10">
        <f t="shared" ref="D46:D49" si="5">C46*$D$44</f>
        <v>100000</v>
      </c>
      <c r="E46" s="14">
        <f t="shared" ref="E46:E49" si="6">C46*$E$44</f>
        <v>2000</v>
      </c>
    </row>
    <row r="47" spans="2:5" x14ac:dyDescent="0.25">
      <c r="B47" s="8" t="s">
        <v>38</v>
      </c>
      <c r="C47" s="9">
        <v>0.4</v>
      </c>
      <c r="D47" s="10">
        <f t="shared" si="5"/>
        <v>400000</v>
      </c>
      <c r="E47" s="14">
        <f t="shared" si="6"/>
        <v>8000</v>
      </c>
    </row>
    <row r="48" spans="2:5" x14ac:dyDescent="0.25">
      <c r="B48" s="8" t="s">
        <v>39</v>
      </c>
      <c r="C48" s="9">
        <v>0.2</v>
      </c>
      <c r="D48" s="10">
        <f t="shared" si="5"/>
        <v>200000</v>
      </c>
      <c r="E48" s="14">
        <f t="shared" si="6"/>
        <v>4000</v>
      </c>
    </row>
    <row r="49" spans="2:5" x14ac:dyDescent="0.25">
      <c r="B49" s="8" t="s">
        <v>43</v>
      </c>
      <c r="C49" s="9">
        <v>0.1</v>
      </c>
      <c r="D49" s="10">
        <f t="shared" si="5"/>
        <v>100000</v>
      </c>
      <c r="E49" s="14">
        <f t="shared" si="6"/>
        <v>2000</v>
      </c>
    </row>
  </sheetData>
  <mergeCells count="4">
    <mergeCell ref="B17:E19"/>
    <mergeCell ref="B5:E7"/>
    <mergeCell ref="B29:E31"/>
    <mergeCell ref="B41:E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E7BD-A3AD-48A6-A331-72AAB4627761}">
  <sheetPr codeName="Sheet5"/>
  <dimension ref="A1"/>
  <sheetViews>
    <sheetView workbookViewId="0">
      <selection sqref="A1:B7"/>
    </sheetView>
  </sheetViews>
  <sheetFormatPr defaultRowHeight="15" x14ac:dyDescent="0.25"/>
  <cols>
    <col min="1" max="1" width="14.5703125" bestFit="1" customWidth="1"/>
    <col min="2" max="3" width="13.425781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C871-F9C6-4600-84A5-58ABC32F76D8}">
  <sheetPr codeName="Sheet6">
    <tabColor theme="8" tint="0.79998168889431442"/>
  </sheetPr>
  <dimension ref="A1:C8"/>
  <sheetViews>
    <sheetView workbookViewId="0">
      <selection activeCell="F14" sqref="F14"/>
    </sheetView>
  </sheetViews>
  <sheetFormatPr defaultRowHeight="15" x14ac:dyDescent="0.25"/>
  <cols>
    <col min="1" max="1" width="17.5703125" bestFit="1" customWidth="1"/>
    <col min="2" max="3" width="8" bestFit="1" customWidth="1"/>
    <col min="6" max="6" width="12.42578125" bestFit="1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14</v>
      </c>
      <c r="B2">
        <v>5233.99</v>
      </c>
      <c r="C2">
        <v>5493.55</v>
      </c>
    </row>
    <row r="6" spans="1:3" x14ac:dyDescent="0.25">
      <c r="A6" t="s">
        <v>50</v>
      </c>
      <c r="B6" t="s">
        <v>12</v>
      </c>
      <c r="C6" t="s">
        <v>13</v>
      </c>
    </row>
    <row r="7" spans="1:3" x14ac:dyDescent="0.25">
      <c r="A7" t="s">
        <v>51</v>
      </c>
      <c r="B7">
        <v>41.823500000000003</v>
      </c>
      <c r="C7">
        <v>41.843899999999998</v>
      </c>
    </row>
    <row r="8" spans="1:3" x14ac:dyDescent="0.25">
      <c r="A8" t="s">
        <v>52</v>
      </c>
      <c r="B8">
        <v>48.576099999999997</v>
      </c>
      <c r="C8">
        <v>48.593200000000003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5D5F-575F-41F8-89AE-099AE774CC2E}">
  <sheetPr codeName="Sheet7">
    <tabColor theme="8" tint="0.79998168889431442"/>
  </sheetPr>
  <dimension ref="A1:C7"/>
  <sheetViews>
    <sheetView workbookViewId="0">
      <selection activeCell="A5" sqref="A5"/>
    </sheetView>
  </sheetViews>
  <sheetFormatPr defaultRowHeight="15" x14ac:dyDescent="0.25"/>
  <cols>
    <col min="3" max="3" width="8.85546875" bestFit="1" customWidth="1"/>
    <col min="4" max="4" width="7.7109375" bestFit="1" customWidth="1"/>
  </cols>
  <sheetData>
    <row r="1" spans="1:3" x14ac:dyDescent="0.25">
      <c r="A1" t="s">
        <v>10</v>
      </c>
      <c r="B1" t="s">
        <v>9</v>
      </c>
      <c r="C1" t="s">
        <v>21</v>
      </c>
    </row>
    <row r="2" spans="1:3" x14ac:dyDescent="0.25">
      <c r="A2" t="s">
        <v>25</v>
      </c>
      <c r="B2" t="s">
        <v>20</v>
      </c>
      <c r="C2">
        <v>68.489999999999995</v>
      </c>
    </row>
    <row r="3" spans="1:3" x14ac:dyDescent="0.25">
      <c r="A3" t="s">
        <v>29</v>
      </c>
      <c r="B3" t="s">
        <v>18</v>
      </c>
      <c r="C3">
        <v>27.86</v>
      </c>
    </row>
    <row r="4" spans="1:3" x14ac:dyDescent="0.25">
      <c r="A4" t="s">
        <v>17</v>
      </c>
      <c r="B4" t="s">
        <v>17</v>
      </c>
      <c r="C4">
        <v>600.47</v>
      </c>
    </row>
    <row r="5" spans="1:3" x14ac:dyDescent="0.25">
      <c r="A5" t="s">
        <v>30</v>
      </c>
      <c r="B5" t="s">
        <v>19</v>
      </c>
      <c r="C5">
        <v>313.75</v>
      </c>
    </row>
    <row r="6" spans="1:3" x14ac:dyDescent="0.25">
      <c r="A6" t="s">
        <v>64</v>
      </c>
      <c r="B6" t="s">
        <v>64</v>
      </c>
      <c r="C6">
        <v>62.07</v>
      </c>
    </row>
    <row r="7" spans="1:3" x14ac:dyDescent="0.25">
      <c r="A7" t="s">
        <v>65</v>
      </c>
      <c r="B7" t="s">
        <v>65</v>
      </c>
      <c r="C7">
        <v>589.59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057B-9E5C-4CCE-A0B5-8BDABCC613F0}">
  <sheetPr codeName="Sheet8">
    <tabColor theme="8" tint="0.79998168889431442"/>
  </sheetPr>
  <dimension ref="A1:N6"/>
  <sheetViews>
    <sheetView workbookViewId="0">
      <selection activeCell="B1" sqref="B1:B6"/>
    </sheetView>
  </sheetViews>
  <sheetFormatPr defaultRowHeight="15" x14ac:dyDescent="0.25"/>
  <cols>
    <col min="1" max="1" width="9.85546875" customWidth="1"/>
    <col min="2" max="2" width="9" bestFit="1" customWidth="1"/>
    <col min="4" max="4" width="10" bestFit="1" customWidth="1"/>
    <col min="5" max="5" width="12" bestFit="1" customWidth="1"/>
    <col min="10" max="10" width="11.85546875" bestFit="1" customWidth="1"/>
    <col min="11" max="11" width="12" bestFit="1" customWidth="1"/>
  </cols>
  <sheetData>
    <row r="1" spans="1:14" x14ac:dyDescent="0.25">
      <c r="A1" t="s">
        <v>9</v>
      </c>
      <c r="B1" t="s">
        <v>2</v>
      </c>
    </row>
    <row r="2" spans="1:14" x14ac:dyDescent="0.25">
      <c r="A2" t="s">
        <v>16</v>
      </c>
      <c r="B2">
        <v>3.708072</v>
      </c>
    </row>
    <row r="3" spans="1:14" x14ac:dyDescent="0.25">
      <c r="A3" t="s">
        <v>15</v>
      </c>
      <c r="B3">
        <v>9.7409999999999997E-2</v>
      </c>
      <c r="M3" t="s">
        <v>55</v>
      </c>
      <c r="N3" t="s">
        <v>56</v>
      </c>
    </row>
    <row r="4" spans="1:14" x14ac:dyDescent="0.25">
      <c r="A4" t="s">
        <v>27</v>
      </c>
      <c r="B4">
        <v>4.8880850000000002</v>
      </c>
    </row>
    <row r="5" spans="1:14" x14ac:dyDescent="0.25">
      <c r="A5" t="s">
        <v>28</v>
      </c>
      <c r="B5">
        <v>4.9779749999999998</v>
      </c>
    </row>
    <row r="6" spans="1:14" x14ac:dyDescent="0.25">
      <c r="A6" t="s">
        <v>15</v>
      </c>
      <c r="B6">
        <v>9.7409999999999997E-2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EC0D-B807-4981-85C0-B8CFB6647905}">
  <sheetPr codeName="Sheet9"/>
  <dimension ref="A2:B2"/>
  <sheetViews>
    <sheetView workbookViewId="0">
      <selection activeCell="A3" sqref="A3"/>
    </sheetView>
  </sheetViews>
  <sheetFormatPr defaultRowHeight="15" x14ac:dyDescent="0.25"/>
  <sheetData>
    <row r="2" spans="1:2" x14ac:dyDescent="0.25">
      <c r="A2" t="s">
        <v>23</v>
      </c>
      <c r="B2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F61597-C9BE-43DA-BB69-225954ADA9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portföy</vt:lpstr>
      <vt:lpstr>source</vt:lpstr>
      <vt:lpstr>Cost accounting</vt:lpstr>
      <vt:lpstr>hedefler</vt:lpstr>
      <vt:lpstr>pivot</vt:lpstr>
      <vt:lpstr>soruce altın&amp;dolar</vt:lpstr>
      <vt:lpstr>soruce tradingview</vt:lpstr>
      <vt:lpstr>soruce tefas</vt:lpstr>
      <vt:lpstr>r&amp;d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ZÜBEYİR ÇAĞRI AYDOĞDU</cp:lastModifiedBy>
  <dcterms:created xsi:type="dcterms:W3CDTF">2025-09-20T08:17:30Z</dcterms:created>
  <dcterms:modified xsi:type="dcterms:W3CDTF">2025-11-02T14:48:30Z</dcterms:modified>
</cp:coreProperties>
</file>